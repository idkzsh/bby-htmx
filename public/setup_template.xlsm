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6" codeName="{873B2839-AC87-7CC4-5C0F-16DCB9831742}"/>
  <workbookPr codeName="ThisWorkbook" defaultThemeVersion="124226"/>
  <mc:AlternateContent xmlns:mc="http://schemas.openxmlformats.org/markup-compatibility/2006">
    <mc:Choice Requires="x15">
      <x15ac:absPath xmlns:x15ac="http://schemas.microsoft.com/office/spreadsheetml/2010/11/ac" url="/Users/zach/Documents/dev/bby-htmx/src/"/>
    </mc:Choice>
  </mc:AlternateContent>
  <xr:revisionPtr revIDLastSave="0" documentId="13_ncr:1_{DBB134BC-A645-7C43-8789-55F14BC6876F}" xr6:coauthVersionLast="47" xr6:coauthVersionMax="47" xr10:uidLastSave="{00000000-0000-0000-0000-000000000000}"/>
  <bookViews>
    <workbookView xWindow="0" yWindow="500" windowWidth="38400" windowHeight="21100" tabRatio="774" xr2:uid="{00000000-000D-0000-FFFF-FFFF00000000}" activeTab="0"/>
  </bookViews>
  <sheets>
    <sheet name="Setup_Sheet" sheetId="2" r:id="rId1"/>
    <sheet name="Data" sheetId="3" state="veryHidden" r:id="rId2"/>
    <sheet name="Mercury" sheetId="7" state="veryHidden" r:id="rId3"/>
    <sheet name="Values_List" sheetId="5" state="veryHidden" r:id="rId4"/>
    <sheet name="Control" sheetId="8" state="veryHidden" r:id="rId5"/>
    <sheet name="Start" sheetId="9" state="veryHidden" r:id="rId6"/>
    <sheet name="SUD_DATA" sheetId="10" state="veryHidden" r:id="rId7"/>
    <sheet name="SUD_MAP" sheetId="11" state="veryHidden" r:id="rId8"/>
    <sheet name="UDA" sheetId="14" state="veryHidden" r:id="rId9"/>
    <sheet name="Product Compliance" sheetId="18" r:id="rId10"/>
    <sheet name="Product Details Guide" sheetId="17" r:id="rId11"/>
    <sheet name="Like" sheetId="15" state="veryHidden" r:id="rId12"/>
    <sheet name="LimitedQty" sheetId="19" state="veryHidden" r:id="rId13"/>
  </sheets>
  <functionGroups builtInGroupCount="19"/>
  <externalReferences>
    <externalReference r:id="rId14"/>
  </externalReferences>
  <definedNames>
    <definedName name="_xlnm._FilterDatabase" localSheetId="1" hidden="1">Data!$C$1:$E$1</definedName>
    <definedName name="_xlnm._FilterDatabase" localSheetId="12" hidden="1">LimitedQty!$A$1:$K$124</definedName>
    <definedName name="_xlnm._FilterDatabase" localSheetId="0" hidden="1">Setup_Sheet!$A$27:$BB$27</definedName>
    <definedName name="_xlnm._FilterDatabase" localSheetId="7" hidden="1">SUD_MAP!$A$2:$F$603</definedName>
    <definedName name="acc_password">Control!$B$13</definedName>
    <definedName name="admin_password">Control!$B$15</definedName>
    <definedName name="Alkaline_Battery">Values_List!$AG$2:$AG$23</definedName>
    <definedName name="Alkaline_Coin_Button">Values_List!$AK$2:$AK$28</definedName>
    <definedName name="BATT_EXTRA_INFO">Values_List!$AF$2:$AF$11</definedName>
    <definedName name="BATT_FORMAT">Values_List!$AC$2:$AC$14</definedName>
    <definedName name="BATT_TYPE">Values_List!$AD$2:$AD$20</definedName>
    <definedName name="Case">Setup_Sheet!$K$16</definedName>
    <definedName name="Case_Options">#REF!</definedName>
    <definedName name="DELIVERY_SERVICE_LEVEL">Values_List!$BA$2:$BA$5</definedName>
    <definedName name="EC_USER_EDITABLE">#REF!</definedName>
    <definedName name="format_ss_user">Control!$B$8</definedName>
    <definedName name="input_q1">Setup_Sheet!$D$9</definedName>
    <definedName name="input_q2">Setup_Sheet!$D$11</definedName>
    <definedName name="input_q3">Setup_Sheet!$D$13</definedName>
    <definedName name="input_q4">Setup_Sheet!$D$15</definedName>
    <definedName name="input_q5">Setup_Sheet!$D$17</definedName>
    <definedName name="input_q6">Setup_Sheet!$D$19</definedName>
    <definedName name="input_q7">Setup_Sheet!$D$21</definedName>
    <definedName name="input_user">Setup_Sheet!$D$7</definedName>
    <definedName name="Lead_Acid">Values_List!$AS$2</definedName>
    <definedName name="LESS_THAN_TRUCKLOAD__LTL">Values_List!$AZ$2:$AZ$3</definedName>
    <definedName name="Lithium_Battery">Values_List!$AI$2:$AI$18</definedName>
    <definedName name="Lithium_Carbon_Flouride__Li_CFx">Values_List!$AU$2:$AU$8</definedName>
    <definedName name="Lithium_cobalt__LiCoO2">Values_List!$AW$2:$AW$5</definedName>
    <definedName name="Lithium_Coin_Button">Values_List!$AL$2:$AL$27</definedName>
    <definedName name="Lithium_Ion_Battery">Values_List!$AH$2:$AH$17</definedName>
    <definedName name="Lithium_Iron_Disulfide__LiFe2">Values_List!$AM$2:$AM$3</definedName>
    <definedName name="Lithium_iron_phosphate__LiFePO4">Values_List!$AV$2:$AV$11</definedName>
    <definedName name="Lithium_Manganese_Dioxide_LiMnO2">Values_List!$AI$2:$AI$7</definedName>
    <definedName name="Lithium_manganese_LiMn204">Values_List!$AX$2:$AX$5</definedName>
    <definedName name="Lithium_Polymer">Values_List!$AJ$2</definedName>
    <definedName name="LTL_SERVICE_LEVEL">Values_List!$BA$2:$BA$3</definedName>
    <definedName name="Manganese_Titanium_Lithium">Values_List!$AY$2:$AY$8</definedName>
    <definedName name="Mer_dep">Mercury!$B$2</definedName>
    <definedName name="mer_dep_row">Control!$B$12</definedName>
    <definedName name="Mer_sup">Mercury!$B$3</definedName>
    <definedName name="mer_vendor_imp_row">Control!$B$11</definedName>
    <definedName name="Nickel_Cadmium__NiCd">Values_List!$AN$2:$AN$8</definedName>
    <definedName name="Nickel_Metal_Hydride__NiMH">Values_List!$AO$2:$AO$7</definedName>
    <definedName name="Num_Attr">Control!$B$2</definedName>
    <definedName name="Num_Sku">Control!$B$3</definedName>
    <definedName name="Other">Values_List!$AT$2</definedName>
    <definedName name="save_button">#REF!</definedName>
    <definedName name="Sel_Column">Control!$B$1</definedName>
    <definedName name="setup_done">Control!$B$14</definedName>
    <definedName name="sheet_password">Control!$B$16</definedName>
    <definedName name="Silver_Oxide_Coin_Button">Values_List!$AP$2:$AP$31</definedName>
    <definedName name="SKU_Owner">[1]Values_List!$A$2:$A$4</definedName>
    <definedName name="Software_Platform">Values_List!$G$2:$G$36</definedName>
    <definedName name="ss_case1_row">Control!$B$5</definedName>
    <definedName name="ss_title_1">Setup_Sheet!$B$27</definedName>
    <definedName name="SS_Titles_Row">Control!$B$4</definedName>
    <definedName name="ss_to_data">Control!$B$9</definedName>
    <definedName name="ss_user_type_row">Control!$B$10</definedName>
    <definedName name="stop_case_change">Control!$B$6</definedName>
    <definedName name="TYPE_CODE">Values_List!$AE$2:$AE$20</definedName>
    <definedName name="UDA_num">SUD_MAP!$F$2</definedName>
    <definedName name="User_Type">Control!$B$7</definedName>
    <definedName name="Values_List">Values_List!$A$1:$BO$103</definedName>
    <definedName name="Vendor_Contact">Setup_Sheet!$D$2</definedName>
    <definedName name="Vendor_Name">Setup_Sheet!$C$2</definedName>
    <definedName name="Zinc_Air_Coin_Button">Values_List!$AQ$2:$AQ$8</definedName>
    <definedName name="Zinc_Carbon">Values_List!$AR$2:$AR$12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Mizrach, Roger (Best Buy Canada)</author>
  </authors>
  <commentList>
    <comment ref="C1" authorId="0" shapeId="0" xr:uid="{00000000-0006-0000-0400-00000C000000}">
      <text>
        <r>
          <rPr>
            <b/>
            <sz val="8"/>
            <color indexed="81"/>
            <rFont val="Tahoma"/>
            <family val="2"/>
          </rPr>
          <t>RMS CODE:  ECFG</t>
        </r>
      </text>
    </comment>
    <comment ref="D1" authorId="0" shapeId="0" xr:uid="{00000000-0006-0000-0400-000024000000}">
      <text>
        <r>
          <rPr>
            <b/>
            <sz val="8"/>
            <color indexed="81"/>
            <rFont val="Tahoma"/>
            <family val="2"/>
          </rPr>
          <t>CADP</t>
        </r>
        <r>
          <rPr>
            <sz val="8"/>
            <color indexed="81"/>
            <rFont val="Tahoma"/>
            <family val="2"/>
          </rPr>
          <t xml:space="preserve">
</t>
        </r>
      </text>
    </comment>
    <comment ref="E1" authorId="0" shapeId="0" xr:uid="{00000000-0006-0000-0400-000026000000}">
      <text>
        <r>
          <rPr>
            <b/>
            <sz val="8"/>
            <color indexed="81"/>
            <rFont val="Tahoma"/>
            <family val="2"/>
          </rPr>
          <t>Mizrach, Roger (Best Buy Canada):</t>
        </r>
        <r>
          <rPr>
            <sz val="8"/>
            <color indexed="81"/>
            <rFont val="Tahoma"/>
            <family val="2"/>
          </rPr>
          <t xml:space="preserve">
SNFM</t>
        </r>
      </text>
    </comment>
    <comment ref="F1" authorId="0" shapeId="0" xr:uid="{00000000-0006-0000-0400-000001000000}">
      <text>
        <r>
          <rPr>
            <b/>
            <sz val="8"/>
            <color indexed="81"/>
            <rFont val="Tahoma"/>
            <family val="2"/>
          </rPr>
          <t>RMS Code = CSPT</t>
        </r>
      </text>
    </comment>
    <comment ref="G1" authorId="0" shapeId="0" xr:uid="{00000000-0006-0000-0400-000002000000}">
      <text>
        <r>
          <rPr>
            <sz val="8"/>
            <color indexed="81"/>
            <rFont val="Tahoma"/>
            <family val="2"/>
          </rPr>
          <t xml:space="preserve">RMS Code = PLAT
</t>
        </r>
      </text>
    </comment>
    <comment ref="L1" authorId="0" shapeId="0" xr:uid="{00000000-0006-0000-0400-000003000000}">
      <text>
        <r>
          <rPr>
            <b/>
            <sz val="8"/>
            <color indexed="81"/>
            <rFont val="Tahoma"/>
            <family val="2"/>
          </rPr>
          <t>RMS Code
SKUT (Non-Inventory)
ISKT (Inventory)</t>
        </r>
        <r>
          <rPr>
            <sz val="8"/>
            <color indexed="81"/>
            <rFont val="Tahoma"/>
            <family val="2"/>
          </rPr>
          <t xml:space="preserve">
</t>
        </r>
      </text>
    </comment>
    <comment ref="N1" authorId="0" shapeId="0" xr:uid="{00000000-0006-0000-0400-000004000000}">
      <text>
        <r>
          <rPr>
            <b/>
            <sz val="8"/>
            <color indexed="81"/>
            <rFont val="Tahoma"/>
            <family val="2"/>
          </rPr>
          <t>UDA ID = 63</t>
        </r>
        <r>
          <rPr>
            <sz val="8"/>
            <color indexed="81"/>
            <rFont val="Tahoma"/>
            <family val="2"/>
          </rPr>
          <t xml:space="preserve">
</t>
        </r>
      </text>
    </comment>
    <comment ref="O1" authorId="0" shapeId="0" xr:uid="{00000000-0006-0000-0400-000005000000}">
      <text>
        <r>
          <rPr>
            <b/>
            <sz val="8"/>
            <color indexed="81"/>
            <rFont val="Tahoma"/>
            <family val="2"/>
          </rPr>
          <t>UDA ID = 61</t>
        </r>
        <r>
          <rPr>
            <sz val="8"/>
            <color indexed="81"/>
            <rFont val="Tahoma"/>
            <family val="2"/>
          </rPr>
          <t xml:space="preserve">
</t>
        </r>
      </text>
    </comment>
    <comment ref="P1" authorId="0" shapeId="0" xr:uid="{00000000-0006-0000-0400-000006000000}">
      <text>
        <r>
          <rPr>
            <b/>
            <sz val="8"/>
            <color indexed="81"/>
            <rFont val="Tahoma"/>
            <family val="2"/>
          </rPr>
          <t>UDA ID = 62</t>
        </r>
        <r>
          <rPr>
            <sz val="8"/>
            <color indexed="81"/>
            <rFont val="Tahoma"/>
            <family val="2"/>
          </rPr>
          <t xml:space="preserve">
</t>
        </r>
      </text>
    </comment>
    <comment ref="Q1" authorId="0" shapeId="0" xr:uid="{00000000-0006-0000-0400-000007000000}">
      <text>
        <r>
          <rPr>
            <b/>
            <sz val="8"/>
            <color indexed="81"/>
            <rFont val="Tahoma"/>
            <family val="2"/>
          </rPr>
          <t>UDA ID = 28</t>
        </r>
        <r>
          <rPr>
            <sz val="8"/>
            <color indexed="81"/>
            <rFont val="Tahoma"/>
            <family val="2"/>
          </rPr>
          <t xml:space="preserve">
</t>
        </r>
      </text>
    </comment>
    <comment ref="R1" authorId="0" shapeId="0" xr:uid="{00000000-0006-0000-0400-000008000000}">
      <text>
        <r>
          <rPr>
            <b/>
            <sz val="8"/>
            <color indexed="81"/>
            <rFont val="Tahoma"/>
            <family val="2"/>
          </rPr>
          <t>UDA ID = 56</t>
        </r>
        <r>
          <rPr>
            <sz val="8"/>
            <color indexed="81"/>
            <rFont val="Tahoma"/>
            <family val="2"/>
          </rPr>
          <t xml:space="preserve">
</t>
        </r>
      </text>
    </comment>
    <comment ref="U1" authorId="0" shapeId="0" xr:uid="{00000000-0006-0000-0400-000009000000}">
      <text>
        <r>
          <rPr>
            <b/>
            <sz val="8"/>
            <color indexed="81"/>
            <rFont val="Tahoma"/>
            <family val="2"/>
          </rPr>
          <t>RMS Code = WERT</t>
        </r>
        <r>
          <rPr>
            <sz val="8"/>
            <color indexed="81"/>
            <rFont val="Tahoma"/>
            <family val="2"/>
          </rPr>
          <t xml:space="preserve">
</t>
        </r>
      </text>
    </comment>
    <comment ref="AY1" authorId="0" shapeId="0" xr:uid="{00000000-0006-0000-0400-00002A000000}">
      <text>
        <r>
          <rPr>
            <b/>
            <sz val="8"/>
            <color indexed="81"/>
            <rFont val="Tahoma"/>
            <family val="2"/>
          </rPr>
          <t>Mizrach, Roger (Best Buy Canada):</t>
        </r>
        <r>
          <rPr>
            <sz val="8"/>
            <color indexed="81"/>
            <rFont val="Tahoma"/>
            <family val="2"/>
          </rPr>
          <t xml:space="preserve">
Added Oct 11, 2017</t>
        </r>
      </text>
    </comment>
    <comment ref="AZ1" authorId="0" shapeId="0" xr:uid="{00000000-0006-0000-0400-00000A000000}">
      <text>
        <r>
          <rPr>
            <b/>
            <sz val="8"/>
            <color indexed="81"/>
            <rFont val="Tahoma"/>
            <family val="2"/>
          </rPr>
          <t>UDA ID = 111</t>
        </r>
        <r>
          <rPr>
            <sz val="8"/>
            <color indexed="81"/>
            <rFont val="Tahoma"/>
            <family val="2"/>
          </rPr>
          <t xml:space="preserve">
</t>
        </r>
      </text>
    </comment>
    <comment ref="BA1" authorId="0" shapeId="0" xr:uid="{00000000-0006-0000-0400-00000B000000}">
      <text>
        <r>
          <rPr>
            <b/>
            <sz val="8"/>
            <color indexed="81"/>
            <rFont val="Tahoma"/>
            <family val="2"/>
          </rPr>
          <t>UDA ID = 127</t>
        </r>
        <r>
          <rPr>
            <sz val="8"/>
            <color indexed="81"/>
            <rFont val="Tahoma"/>
            <family val="2"/>
          </rPr>
          <t xml:space="preserve">
</t>
        </r>
      </text>
    </comment>
    <comment ref="C2" authorId="0" shapeId="0" xr:uid="{00000000-0006-0000-0400-00000D000000}">
      <text>
        <r>
          <rPr>
            <sz val="8"/>
            <color indexed="81"/>
            <rFont val="Tahoma"/>
            <family val="2"/>
          </rPr>
          <t xml:space="preserve">5
</t>
        </r>
      </text>
    </comment>
    <comment ref="E2" authorId="0" shapeId="0" xr:uid="{00000000-0006-0000-0400-000027000000}">
      <text>
        <r>
          <rPr>
            <b/>
            <sz val="8"/>
            <color indexed="81"/>
            <rFont val="Tahoma"/>
            <family val="2"/>
          </rPr>
          <t>Mizrach, Roger (Best Buy Canada):</t>
        </r>
        <r>
          <rPr>
            <sz val="8"/>
            <color indexed="81"/>
            <rFont val="Tahoma"/>
            <family val="2"/>
          </rPr>
          <t xml:space="preserve">
Renamed March 2, 2017</t>
        </r>
      </text>
    </comment>
    <comment ref="C3" authorId="0" shapeId="0" xr:uid="{00000000-0006-0000-0400-00000E000000}">
      <text>
        <r>
          <rPr>
            <b/>
            <sz val="8"/>
            <color indexed="81"/>
            <rFont val="Tahoma"/>
            <family val="2"/>
          </rPr>
          <t>19</t>
        </r>
        <r>
          <rPr>
            <sz val="8"/>
            <color indexed="81"/>
            <rFont val="Tahoma"/>
            <family val="2"/>
          </rPr>
          <t xml:space="preserve">
</t>
        </r>
      </text>
    </comment>
    <comment ref="E3" authorId="0" shapeId="0" xr:uid="{00000000-0006-0000-0400-000028000000}">
      <text>
        <r>
          <rPr>
            <b/>
            <sz val="8"/>
            <color indexed="81"/>
            <rFont val="Tahoma"/>
            <family val="2"/>
          </rPr>
          <t>Mizrach, Roger (Best Buy Canada):</t>
        </r>
        <r>
          <rPr>
            <sz val="8"/>
            <color indexed="81"/>
            <rFont val="Tahoma"/>
            <family val="2"/>
          </rPr>
          <t xml:space="preserve">
Added March 2 2017</t>
        </r>
      </text>
    </comment>
    <comment ref="C4" authorId="0" shapeId="0" xr:uid="{00000000-0006-0000-0400-00000F000000}">
      <text>
        <r>
          <rPr>
            <b/>
            <sz val="8"/>
            <color indexed="81"/>
            <rFont val="Tahoma"/>
            <family val="2"/>
          </rPr>
          <t>16</t>
        </r>
        <r>
          <rPr>
            <sz val="8"/>
            <color indexed="81"/>
            <rFont val="Tahoma"/>
            <family val="2"/>
          </rPr>
          <t xml:space="preserve">
</t>
        </r>
      </text>
    </comment>
    <comment ref="G4" authorId="0" shapeId="0" xr:uid="{00000000-0006-0000-0400-000023000000}">
      <text>
        <r>
          <rPr>
            <b/>
            <sz val="8"/>
            <color indexed="81"/>
            <rFont val="Tahoma"/>
            <family val="2"/>
          </rPr>
          <t>107</t>
        </r>
        <r>
          <rPr>
            <sz val="8"/>
            <color indexed="81"/>
            <rFont val="Tahoma"/>
            <family val="2"/>
          </rPr>
          <t xml:space="preserve"> - ADDED JAN 20/2016 (CCT)</t>
        </r>
      </text>
    </comment>
    <comment ref="C5" authorId="0" shapeId="0" xr:uid="{00000000-0006-0000-0400-000010000000}">
      <text>
        <r>
          <rPr>
            <b/>
            <sz val="8"/>
            <color indexed="81"/>
            <rFont val="Tahoma"/>
            <family val="2"/>
          </rPr>
          <t>1</t>
        </r>
        <r>
          <rPr>
            <sz val="8"/>
            <color indexed="81"/>
            <rFont val="Tahoma"/>
            <family val="2"/>
          </rPr>
          <t xml:space="preserve">
</t>
        </r>
      </text>
    </comment>
    <comment ref="C6" authorId="0" shapeId="0" xr:uid="{00000000-0006-0000-0400-000011000000}">
      <text>
        <r>
          <rPr>
            <b/>
            <sz val="8"/>
            <color indexed="81"/>
            <rFont val="Tahoma"/>
            <family val="2"/>
          </rPr>
          <t>8</t>
        </r>
        <r>
          <rPr>
            <sz val="8"/>
            <color indexed="81"/>
            <rFont val="Tahoma"/>
            <family val="2"/>
          </rPr>
          <t xml:space="preserve">
</t>
        </r>
      </text>
    </comment>
    <comment ref="C7" authorId="0" shapeId="0" xr:uid="{00000000-0006-0000-0400-000012000000}">
      <text>
        <r>
          <rPr>
            <b/>
            <sz val="8"/>
            <color indexed="81"/>
            <rFont val="Tahoma"/>
            <family val="2"/>
          </rPr>
          <t>12</t>
        </r>
        <r>
          <rPr>
            <sz val="8"/>
            <color indexed="81"/>
            <rFont val="Tahoma"/>
            <family val="2"/>
          </rPr>
          <t xml:space="preserve">
</t>
        </r>
      </text>
    </comment>
    <comment ref="C8" authorId="0" shapeId="0" xr:uid="{00000000-0006-0000-0400-000013000000}">
      <text>
        <r>
          <rPr>
            <b/>
            <sz val="8"/>
            <color indexed="81"/>
            <rFont val="Tahoma"/>
            <family val="2"/>
          </rPr>
          <t>15</t>
        </r>
        <r>
          <rPr>
            <sz val="8"/>
            <color indexed="81"/>
            <rFont val="Tahoma"/>
            <family val="2"/>
          </rPr>
          <t xml:space="preserve">
</t>
        </r>
      </text>
    </comment>
    <comment ref="C9" authorId="0" shapeId="0" xr:uid="{00000000-0006-0000-0400-000014000000}">
      <text>
        <r>
          <rPr>
            <b/>
            <sz val="8"/>
            <color indexed="81"/>
            <rFont val="Tahoma"/>
            <family val="2"/>
          </rPr>
          <t>13</t>
        </r>
        <r>
          <rPr>
            <sz val="8"/>
            <color indexed="81"/>
            <rFont val="Tahoma"/>
            <family val="2"/>
          </rPr>
          <t xml:space="preserve">
</t>
        </r>
      </text>
    </comment>
    <comment ref="C10" authorId="0" shapeId="0" xr:uid="{00000000-0006-0000-0400-000015000000}">
      <text>
        <r>
          <rPr>
            <b/>
            <sz val="8"/>
            <color indexed="81"/>
            <rFont val="Tahoma"/>
            <family val="2"/>
          </rPr>
          <t>9</t>
        </r>
        <r>
          <rPr>
            <sz val="8"/>
            <color indexed="81"/>
            <rFont val="Tahoma"/>
            <family val="2"/>
          </rPr>
          <t xml:space="preserve">
</t>
        </r>
      </text>
    </comment>
    <comment ref="C11" authorId="0" shapeId="0" xr:uid="{00000000-0006-0000-0400-000016000000}">
      <text>
        <r>
          <rPr>
            <b/>
            <sz val="8"/>
            <color indexed="81"/>
            <rFont val="Tahoma"/>
            <family val="2"/>
          </rPr>
          <t>6</t>
        </r>
        <r>
          <rPr>
            <sz val="8"/>
            <color indexed="81"/>
            <rFont val="Tahoma"/>
            <family val="2"/>
          </rPr>
          <t xml:space="preserve">
</t>
        </r>
      </text>
    </comment>
    <comment ref="C12" authorId="0" shapeId="0" xr:uid="{00000000-0006-0000-0400-000017000000}">
      <text>
        <r>
          <rPr>
            <b/>
            <sz val="8"/>
            <color indexed="81"/>
            <rFont val="Tahoma"/>
            <family val="2"/>
          </rPr>
          <t>3</t>
        </r>
      </text>
    </comment>
    <comment ref="C13" authorId="0" shapeId="0" xr:uid="{00000000-0006-0000-0400-000018000000}">
      <text>
        <r>
          <rPr>
            <b/>
            <sz val="8"/>
            <color indexed="81"/>
            <rFont val="Tahoma"/>
            <family val="2"/>
          </rPr>
          <t>17</t>
        </r>
      </text>
    </comment>
    <comment ref="C14" authorId="0" shapeId="0" xr:uid="{00000000-0006-0000-0400-000019000000}">
      <text>
        <r>
          <rPr>
            <b/>
            <sz val="8"/>
            <color indexed="81"/>
            <rFont val="Tahoma"/>
            <family val="2"/>
          </rPr>
          <t>14</t>
        </r>
        <r>
          <rPr>
            <sz val="8"/>
            <color indexed="81"/>
            <rFont val="Tahoma"/>
            <family val="2"/>
          </rPr>
          <t xml:space="preserve">
</t>
        </r>
      </text>
    </comment>
    <comment ref="C15" authorId="0" shapeId="0" xr:uid="{00000000-0006-0000-0400-00001A000000}">
      <text>
        <r>
          <rPr>
            <b/>
            <sz val="8"/>
            <color indexed="81"/>
            <rFont val="Tahoma"/>
            <family val="2"/>
          </rPr>
          <t>11</t>
        </r>
        <r>
          <rPr>
            <sz val="8"/>
            <color indexed="81"/>
            <rFont val="Tahoma"/>
            <family val="2"/>
          </rPr>
          <t xml:space="preserve">
</t>
        </r>
      </text>
    </comment>
    <comment ref="C16" authorId="0" shapeId="0" xr:uid="{00000000-0006-0000-0400-00001B000000}">
      <text>
        <r>
          <rPr>
            <b/>
            <sz val="8"/>
            <color indexed="81"/>
            <rFont val="Tahoma"/>
            <family val="2"/>
          </rPr>
          <t>7</t>
        </r>
      </text>
    </comment>
    <comment ref="C17" authorId="0" shapeId="0" xr:uid="{00000000-0006-0000-0400-00001C000000}">
      <text>
        <r>
          <rPr>
            <b/>
            <sz val="8"/>
            <color indexed="81"/>
            <rFont val="Tahoma"/>
            <family val="2"/>
          </rPr>
          <t>2</t>
        </r>
        <r>
          <rPr>
            <sz val="8"/>
            <color indexed="81"/>
            <rFont val="Tahoma"/>
            <family val="2"/>
          </rPr>
          <t xml:space="preserve">
</t>
        </r>
      </text>
    </comment>
    <comment ref="C18" authorId="0" shapeId="0" xr:uid="{00000000-0006-0000-0400-00001D000000}">
      <text>
        <r>
          <rPr>
            <b/>
            <sz val="8"/>
            <color indexed="81"/>
            <rFont val="Tahoma"/>
            <family val="2"/>
          </rPr>
          <t>10</t>
        </r>
      </text>
    </comment>
    <comment ref="C19" authorId="0" shapeId="0" xr:uid="{00000000-0006-0000-0400-00001E000000}">
      <text>
        <r>
          <rPr>
            <b/>
            <sz val="8"/>
            <color indexed="81"/>
            <rFont val="Tahoma"/>
            <family val="2"/>
          </rPr>
          <t>18</t>
        </r>
      </text>
    </comment>
    <comment ref="C20" authorId="0" shapeId="0" xr:uid="{00000000-0006-0000-0400-00001F000000}">
      <text>
        <r>
          <rPr>
            <b/>
            <sz val="8"/>
            <color indexed="81"/>
            <rFont val="Tahoma"/>
            <family val="2"/>
          </rPr>
          <t>4</t>
        </r>
        <r>
          <rPr>
            <sz val="8"/>
            <color indexed="81"/>
            <rFont val="Tahoma"/>
            <family val="2"/>
          </rPr>
          <t xml:space="preserve">
</t>
        </r>
      </text>
    </comment>
    <comment ref="G20" authorId="0" shapeId="0" xr:uid="{00000000-0006-0000-0400-000025000000}">
      <text>
        <r>
          <rPr>
            <b/>
            <sz val="8"/>
            <color indexed="81"/>
            <rFont val="Tahoma"/>
            <family val="2"/>
          </rPr>
          <t>Mizrach, Roger (Best Buy Canada):</t>
        </r>
        <r>
          <rPr>
            <sz val="8"/>
            <color indexed="81"/>
            <rFont val="Tahoma"/>
            <family val="2"/>
          </rPr>
          <t xml:space="preserve">
Feb 22,  2017</t>
        </r>
      </text>
    </comment>
    <comment ref="C21" authorId="0" shapeId="0" xr:uid="{00000000-0006-0000-0400-000020000000}">
      <text>
        <r>
          <rPr>
            <b/>
            <sz val="8"/>
            <color indexed="81"/>
            <rFont val="Tahoma"/>
            <family val="2"/>
          </rPr>
          <t>20</t>
        </r>
        <r>
          <rPr>
            <sz val="8"/>
            <color indexed="81"/>
            <rFont val="Tahoma"/>
            <family val="2"/>
          </rPr>
          <t xml:space="preserve">
</t>
        </r>
      </text>
    </comment>
    <comment ref="C22" authorId="0" shapeId="0" xr:uid="{00000000-0006-0000-0400-000021000000}">
      <text>
        <r>
          <rPr>
            <b/>
            <sz val="8"/>
            <color indexed="81"/>
            <rFont val="Tahoma"/>
            <family val="2"/>
          </rPr>
          <t>21 - ADDED JAN 20/2016 (CCT)</t>
        </r>
        <r>
          <rPr>
            <sz val="8"/>
            <color indexed="81"/>
            <rFont val="Tahoma"/>
            <family val="2"/>
          </rPr>
          <t xml:space="preserve">
</t>
        </r>
      </text>
    </comment>
    <comment ref="G22" authorId="0" shapeId="0" xr:uid="{00000000-0006-0000-0400-000029000000}">
      <text>
        <r>
          <rPr>
            <b/>
            <sz val="8"/>
            <color indexed="81"/>
            <rFont val="Tahoma"/>
            <family val="2"/>
          </rPr>
          <t>Mizrach, Roger (Best Buy Canada):</t>
        </r>
        <r>
          <rPr>
            <sz val="8"/>
            <color indexed="81"/>
            <rFont val="Tahoma"/>
            <family val="2"/>
          </rPr>
          <t xml:space="preserve">
Added April 18-2017</t>
        </r>
      </text>
    </comment>
    <comment ref="C23" authorId="0" shapeId="0" xr:uid="{00000000-0006-0000-0400-000022000000}">
      <text>
        <r>
          <rPr>
            <sz val="8"/>
            <color indexed="81"/>
            <rFont val="Tahoma"/>
            <family val="2"/>
          </rPr>
          <t xml:space="preserve">22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Birt, Peter (Best Buy Canada)</author>
    <author>Calpo, Sarah (CW - Best Buy Canada)</author>
  </authors>
  <commentList>
    <comment ref="B5" authorId="0" shapeId="0" xr:uid="{00000000-0006-0000-0B00-000002000000}">
      <text>
        <r>
          <rPr>
            <sz val="8"/>
            <color indexed="81"/>
            <rFont val="Tahoma"/>
            <family val="2"/>
          </rPr>
          <t xml:space="preserve">Enter the number of components &amp; Hg in MG contained in each componet per instance; if there are multiple bulbs with varing amounts of Hg, more than 1 entry will be required. 
If the product does not contain Mercury, please leave this section blank.
</t>
        </r>
      </text>
    </comment>
    <comment ref="B18" authorId="0" shapeId="0" xr:uid="{00000000-0006-0000-0B00-000001000000}">
      <text>
        <r>
          <rPr>
            <sz val="8"/>
            <color indexed="81"/>
            <rFont val="Tahoma"/>
            <family val="2"/>
          </rPr>
          <t xml:space="preserve">Enter the weight (KG) of packaging associated with the product according to packaging type, including manuals. This is expected to be filled-out, vendor must provide the packaging material/type of the product.
Select the appropriate packaging type and enter the weight for each selected type. Min - Max Weight:  0.0001 to 100 kg
</t>
        </r>
      </text>
    </comment>
    <comment ref="C18" authorId="0" shapeId="0" xr:uid="{00000000-0006-0000-0B00-000006000000}">
      <text>
        <r>
          <rPr>
            <sz val="8"/>
            <color indexed="81"/>
            <rFont val="Tahoma"/>
            <family val="2"/>
          </rPr>
          <t>Indicate the type of Packaging that is used in these SKUs
For more information and examples, hover over each type on the spreadsheet</t>
        </r>
      </text>
    </comment>
    <comment ref="D19" authorId="1" shapeId="0" xr:uid="{00000000-0006-0000-0B00-000009000000}">
      <text>
        <r>
          <rPr>
            <b/>
            <sz val="9"/>
            <color indexed="81"/>
            <rFont val="Tahoma"/>
            <family val="2"/>
          </rPr>
          <t>Bound periodicals or publications</t>
        </r>
        <r>
          <rPr>
            <sz val="9"/>
            <color indexed="81"/>
            <rFont val="Tahoma"/>
            <family val="2"/>
          </rPr>
          <t xml:space="preserve"> which are distributed to the consumer.  Paper is coated, glossy/ non-glossy, and sometimes includes mastheads.</t>
        </r>
      </text>
    </comment>
    <comment ref="D20" authorId="0" shapeId="0" xr:uid="{00000000-0006-0000-0B00-00000A000000}">
      <text>
        <r>
          <rPr>
            <b/>
            <sz val="9"/>
            <color indexed="81"/>
            <rFont val="Tahoma"/>
            <family val="2"/>
          </rPr>
          <t xml:space="preserve">Newsprint inserts, flyers and circulars </t>
        </r>
        <r>
          <rPr>
            <sz val="9"/>
            <color indexed="81"/>
            <rFont val="Tahoma"/>
            <family val="2"/>
          </rPr>
          <t>(advertising materials distributed into consumer’s home).</t>
        </r>
      </text>
    </comment>
    <comment ref="D21" authorId="0" shapeId="0" xr:uid="{00000000-0006-0000-0B00-00000B000000}">
      <text>
        <r>
          <rPr>
            <b/>
            <sz val="9"/>
            <color indexed="81"/>
            <rFont val="Tahoma"/>
            <family val="2"/>
          </rPr>
          <t>Single-purpose finished goods</t>
        </r>
        <r>
          <rPr>
            <sz val="9"/>
            <color indexed="81"/>
            <rFont val="Tahoma"/>
            <family val="2"/>
          </rPr>
          <t xml:space="preserve"> sold, or distributed to the consumer.</t>
        </r>
      </text>
    </comment>
    <comment ref="D22" authorId="0" shapeId="0" xr:uid="{00000000-0006-0000-0B00-00000C000000}">
      <text>
        <r>
          <rPr>
            <b/>
            <sz val="9"/>
            <color indexed="81"/>
            <rFont val="Tahoma"/>
            <family val="2"/>
          </rPr>
          <t>Single-purpose finished goods</t>
        </r>
        <r>
          <rPr>
            <sz val="9"/>
            <color indexed="81"/>
            <rFont val="Tahoma"/>
            <family val="2"/>
          </rPr>
          <t xml:space="preserve"> sold, or distributed to the consumer. (Excludes promotional materials or complimentary parapohernalia.</t>
        </r>
      </text>
    </comment>
    <comment ref="D23" authorId="0" shapeId="0" xr:uid="{00000000-0006-0000-0B00-00000D000000}">
      <text>
        <r>
          <rPr>
            <sz val="9"/>
            <color indexed="81"/>
            <rFont val="Tahoma"/>
            <family val="2"/>
          </rPr>
          <t>Includes all warranty cards, instruction manuals, setup guides, transaction receipts, retail handouts included with or disctributed to the consumer.</t>
        </r>
      </text>
    </comment>
    <comment ref="D24" authorId="0" shapeId="0" xr:uid="{00000000-0006-0000-0B00-00000E000000}">
      <text>
        <r>
          <rPr>
            <b/>
            <sz val="9"/>
            <color indexed="81"/>
            <rFont val="Tahoma"/>
            <family val="2"/>
          </rPr>
          <t>Multi-layered</t>
        </r>
        <r>
          <rPr>
            <sz val="9"/>
            <color indexed="81"/>
            <rFont val="Tahoma"/>
            <family val="2"/>
          </rPr>
          <t xml:space="preserve"> paper board and fiber which may have one or more layers of corrugation.  Higher density, generaly used for shipping</t>
        </r>
      </text>
    </comment>
    <comment ref="D25" authorId="0" shapeId="0" xr:uid="{00000000-0006-0000-0B00-00000F000000}">
      <text>
        <r>
          <rPr>
            <b/>
            <i/>
            <sz val="9"/>
            <color indexed="81"/>
            <rFont val="Tahoma"/>
            <family val="2"/>
          </rPr>
          <t>Single layered</t>
        </r>
        <r>
          <rPr>
            <sz val="9"/>
            <color indexed="81"/>
            <rFont val="Tahoma"/>
            <family val="2"/>
          </rPr>
          <t xml:space="preserve"> paperboard and fiber board with no corrugation and all types of molded pulp packaging. Includes paper packaging not included in any other paper subcategories. fiber-board containers made from other non-wood sources (e.g. bamboo, bagasse, eucalyptus).  Includes heavy guage tags or labels.
</t>
        </r>
      </text>
    </comment>
    <comment ref="D26" authorId="0" shapeId="0" xr:uid="{00000000-0006-0000-0B00-000010000000}">
      <text>
        <r>
          <rPr>
            <sz val="9"/>
            <color indexed="81"/>
            <rFont val="Tahoma"/>
            <family val="2"/>
          </rPr>
          <t xml:space="preserve">Includes laminated paper packaging where paper is the main component, along with either metalized foil/wax/plastic. The paper component represents the greatest percentage by weight.
</t>
        </r>
      </text>
    </comment>
    <comment ref="D27" authorId="0" shapeId="0" xr:uid="{00000000-0006-0000-0B00-000011000000}">
      <text>
        <r>
          <rPr>
            <sz val="9"/>
            <color indexed="81"/>
            <rFont val="Tahoma"/>
            <family val="2"/>
          </rPr>
          <t xml:space="preserve">Gable top and </t>
        </r>
        <r>
          <rPr>
            <b/>
            <sz val="9"/>
            <color indexed="81"/>
            <rFont val="Tahoma"/>
            <family val="2"/>
          </rPr>
          <t xml:space="preserve">poly-coated cartons </t>
        </r>
        <r>
          <rPr>
            <sz val="9"/>
            <color indexed="81"/>
            <rFont val="Tahoma"/>
            <family val="2"/>
          </rPr>
          <t>used for beverages (alcoholic and non-alcoholic or dairy); or food (sugar, molasses); or, cleaning &amp; laundry products, not on deposit.</t>
        </r>
      </text>
    </comment>
    <comment ref="D28" authorId="0" shapeId="0" xr:uid="{00000000-0006-0000-0B00-000012000000}">
      <text>
        <r>
          <rPr>
            <sz val="9"/>
            <color indexed="81"/>
            <rFont val="Tahoma"/>
            <family val="2"/>
          </rPr>
          <t>Includes all aseptic poly-coated and foil-backed boxes and containers for beverages (alcoholic and non-alcoholic, or dairy); or food (soup, sauces).</t>
        </r>
      </text>
    </comment>
    <comment ref="D29" authorId="0" shapeId="0" xr:uid="{00000000-0006-0000-0B00-000013000000}">
      <text>
        <r>
          <rPr>
            <b/>
            <sz val="9"/>
            <color indexed="81"/>
            <rFont val="Tahoma"/>
            <family val="2"/>
          </rPr>
          <t xml:space="preserve">Non-laminated, heavy guage </t>
        </r>
        <r>
          <rPr>
            <sz val="9"/>
            <color indexed="81"/>
            <rFont val="Tahoma"/>
            <family val="2"/>
          </rPr>
          <t xml:space="preserve">paper packaging </t>
        </r>
      </text>
    </comment>
    <comment ref="D30" authorId="0" shapeId="0" xr:uid="{00000000-0006-0000-0B00-000014000000}">
      <text>
        <r>
          <rPr>
            <sz val="9"/>
            <color indexed="81"/>
            <rFont val="Tahoma"/>
            <family val="2"/>
          </rPr>
          <t xml:space="preserve">Includes plastic film made from LDPE, LLDPE, HDPE (Low Density, Linear Low Density, High Density Polyethylene) or combinations thereof. May display resin code #4 or #2. PE films reported under this category must not contain any barrier layers or other non-PE resins.  </t>
        </r>
        <r>
          <rPr>
            <b/>
            <sz val="9"/>
            <color indexed="81"/>
            <rFont val="Tahoma"/>
            <family val="2"/>
          </rPr>
          <t>Examples:</t>
        </r>
        <r>
          <rPr>
            <sz val="9"/>
            <color indexed="81"/>
            <rFont val="Tahoma"/>
            <family val="2"/>
          </rPr>
          <t xml:space="preserve"> Shrink wrap, liners or plastic bags which are not retail shopping bags.</t>
        </r>
      </text>
    </comment>
    <comment ref="D31" authorId="0" shapeId="0" xr:uid="{00000000-0006-0000-0B00-000015000000}">
      <text>
        <r>
          <rPr>
            <sz val="9"/>
            <color indexed="81"/>
            <rFont val="Tahoma"/>
            <family val="2"/>
          </rPr>
          <t xml:space="preserve">Other forms of expanded foam packaging for non-food uses </t>
        </r>
        <r>
          <rPr>
            <b/>
            <sz val="9"/>
            <color indexed="81"/>
            <rFont val="Tahoma"/>
            <family val="2"/>
          </rPr>
          <t>displaying resin code #6.</t>
        </r>
      </text>
    </comment>
    <comment ref="D32" authorId="0" shapeId="0" xr:uid="{00000000-0006-0000-0B00-000016000000}">
      <text>
        <r>
          <rPr>
            <sz val="9"/>
            <color indexed="81"/>
            <rFont val="Tahoma"/>
            <family val="2"/>
          </rPr>
          <t xml:space="preserve">Non-expanded polystyrene bottles used for any beverages and </t>
        </r>
        <r>
          <rPr>
            <b/>
            <sz val="9"/>
            <color indexed="81"/>
            <rFont val="Tahoma"/>
            <family val="2"/>
          </rPr>
          <t>may display resin code #6.</t>
        </r>
      </text>
    </comment>
    <comment ref="D33" authorId="0" shapeId="0" xr:uid="{00000000-0006-0000-0B00-000017000000}">
      <text>
        <r>
          <rPr>
            <sz val="9"/>
            <color indexed="81"/>
            <rFont val="Tahoma"/>
            <family val="2"/>
          </rPr>
          <t>PET thermoform clear, light green and light blue containers such as clamshells, with a volume of less than 5 liters used for non-beverage products and which are not Bottle or Jars.</t>
        </r>
      </text>
    </comment>
    <comment ref="D34" authorId="0" shapeId="0" xr:uid="{00000000-0006-0000-0B00-000018000000}">
      <text>
        <r>
          <rPr>
            <sz val="9"/>
            <color indexed="81"/>
            <rFont val="Tahoma"/>
            <family val="2"/>
          </rPr>
          <t xml:space="preserve">Transparent and/or colored #1 PET (Polyethylene Terephthalate) </t>
        </r>
        <r>
          <rPr>
            <b/>
            <sz val="9"/>
            <color indexed="81"/>
            <rFont val="Tahoma"/>
            <family val="2"/>
          </rPr>
          <t>bottles and jars</t>
        </r>
        <r>
          <rPr>
            <sz val="9"/>
            <color indexed="81"/>
            <rFont val="Tahoma"/>
            <family val="2"/>
          </rPr>
          <t xml:space="preserve">, containing less than 5 liters, displaying the resin code #1 beverages (alcoholic and non-alcoholic or dairy), or food (dressings or peanut butter), or non-beverage (cleaning &amp; laundry products), not on deposit. </t>
        </r>
      </text>
    </comment>
    <comment ref="D35" authorId="0" shapeId="0" xr:uid="{00000000-0006-0000-0B00-000019000000}">
      <text>
        <r>
          <rPr>
            <sz val="9"/>
            <color indexed="81"/>
            <rFont val="Tahoma"/>
            <family val="2"/>
          </rPr>
          <t xml:space="preserve">HDPE (High Density Polyethylene) </t>
        </r>
        <r>
          <rPr>
            <b/>
            <sz val="9"/>
            <color indexed="81"/>
            <rFont val="Tahoma"/>
            <family val="2"/>
          </rPr>
          <t>bottles, jars and jugs</t>
        </r>
        <r>
          <rPr>
            <sz val="9"/>
            <color indexed="81"/>
            <rFont val="Tahoma"/>
            <family val="2"/>
          </rPr>
          <t>, containing less than 5 liters displaying the #2 resin code: used for beverages (alcoholic and non-alcoholic or dairy), non-beverage (cleaning &amp; laundry products), not on deposit.  (Note: Packaging of this material which is not a bottle or jar should be classified as ‘Other Plastic Packaging’).</t>
        </r>
      </text>
    </comment>
    <comment ref="D36" authorId="0" shapeId="0" xr:uid="{00000000-0006-0000-0B00-00001A000000}">
      <text>
        <r>
          <rPr>
            <sz val="9"/>
            <color indexed="81"/>
            <rFont val="Tahoma"/>
            <family val="2"/>
          </rPr>
          <t xml:space="preserve">Plastic </t>
        </r>
        <r>
          <rPr>
            <b/>
            <sz val="9"/>
            <color indexed="81"/>
            <rFont val="Tahoma"/>
            <family val="2"/>
          </rPr>
          <t>bottles</t>
        </r>
        <r>
          <rPr>
            <sz val="9"/>
            <color indexed="81"/>
            <rFont val="Tahoma"/>
            <family val="2"/>
          </rPr>
          <t xml:space="preserve"> consisting of bio-plastics made of either PLA (polylactic acid), PHA (polyhydroxyalkanoates) and PHB (poly-3-hydroxybutyrate) polymers used for beverages not on deposit.</t>
        </r>
      </text>
    </comment>
    <comment ref="D37" authorId="0" shapeId="0" xr:uid="{00000000-0006-0000-0B00-00001B000000}">
      <text>
        <r>
          <rPr>
            <sz val="9"/>
            <color indexed="81"/>
            <rFont val="Tahoma"/>
            <family val="2"/>
          </rPr>
          <t xml:space="preserve">Plastic containers consisting of bio-plastics made of either PLA (polylactic acid), PHA (polyhydroxyalkanoates) and PHB (poly-3-hydroxybutyrate) polymers </t>
        </r>
        <r>
          <rPr>
            <b/>
            <sz val="9"/>
            <color indexed="81"/>
            <rFont val="Tahoma"/>
            <family val="2"/>
          </rPr>
          <t>for non-beverage products.</t>
        </r>
      </text>
    </comment>
    <comment ref="D39" authorId="0" shapeId="0" xr:uid="{00000000-0006-0000-0B00-00001C000000}">
      <text>
        <r>
          <rPr>
            <sz val="9"/>
            <color indexed="81"/>
            <rFont val="Tahoma"/>
            <family val="2"/>
          </rPr>
          <t xml:space="preserve">All laminated film and laminated flexible plastic packaging comprised of multiple plastic resin types and/or combinations of plastic resins and metalized foils, wax,and/or paper. This material category also includes mono-material such as those made of PET, PP, PVC, EVA and other films that do not meet the definition of LDPE/HDPE Film or PLA, PHA, PHB – Plastic film. </t>
        </r>
        <r>
          <rPr>
            <b/>
            <sz val="9"/>
            <color indexed="81"/>
            <rFont val="Tahoma"/>
            <family val="2"/>
          </rPr>
          <t xml:space="preserve"> Examples:</t>
        </r>
        <r>
          <rPr>
            <sz val="9"/>
            <color indexed="81"/>
            <rFont val="Tahoma"/>
            <family val="2"/>
          </rPr>
          <t xml:space="preserve"> Drink or alcohol pouches; chip bags, printer ink or toner bags.  </t>
        </r>
      </text>
    </comment>
    <comment ref="D40" authorId="1" shapeId="0" xr:uid="{00000000-0006-0000-0B00-000023000000}">
      <text>
        <r>
          <rPr>
            <sz val="9"/>
            <color indexed="81"/>
            <rFont val="Tahoma"/>
            <family val="2"/>
          </rPr>
          <t xml:space="preserve">All PP plastic including rigid and flexible plastics, regardless of if clear, transparent, opaque, or coloured. </t>
        </r>
        <r>
          <rPr>
            <b/>
            <sz val="9"/>
            <color indexed="81"/>
            <rFont val="Tahoma"/>
            <family val="2"/>
          </rPr>
          <t>May display resin code #5</t>
        </r>
      </text>
    </comment>
    <comment ref="D41" authorId="1" shapeId="0" xr:uid="{00000000-0006-0000-0B00-000024000000}">
      <text>
        <r>
          <rPr>
            <sz val="9"/>
            <color indexed="81"/>
            <rFont val="Tahoma"/>
            <family val="2"/>
          </rPr>
          <t>All PVC plastic containers and packaging including rigid and flexible plastic, regardless of if clear, transparent, opaque, or coloured.</t>
        </r>
        <r>
          <rPr>
            <b/>
            <sz val="9"/>
            <color indexed="81"/>
            <rFont val="Tahoma"/>
            <family val="2"/>
          </rPr>
          <t xml:space="preserve"> May display resin code #3 </t>
        </r>
      </text>
    </comment>
    <comment ref="D43" authorId="0" shapeId="0" xr:uid="{00000000-0006-0000-0B00-00001D000000}">
      <text>
        <r>
          <rPr>
            <sz val="9"/>
            <color indexed="81"/>
            <rFont val="Tahoma"/>
            <family val="2"/>
          </rPr>
          <t>Includes aluminum aerosol containers that are at least 95% by weight aluminum.</t>
        </r>
      </text>
    </comment>
    <comment ref="D44" authorId="0" shapeId="0" xr:uid="{00000000-0006-0000-0B00-00001E000000}">
      <text>
        <r>
          <rPr>
            <b/>
            <sz val="9"/>
            <color indexed="81"/>
            <rFont val="Tahoma"/>
            <family val="2"/>
          </rPr>
          <t xml:space="preserve">Non-Aerosol </t>
        </r>
        <r>
          <rPr>
            <sz val="9"/>
            <color indexed="81"/>
            <rFont val="Tahoma"/>
            <family val="2"/>
          </rPr>
          <t>aluminum packaging which is not sold to the consumer as a finished good (foil bakeware, or tin-foil)</t>
        </r>
      </text>
    </comment>
    <comment ref="D45" authorId="0" shapeId="0" xr:uid="{00000000-0006-0000-0B00-00001F000000}">
      <text>
        <r>
          <rPr>
            <sz val="9"/>
            <color indexed="81"/>
            <rFont val="Tahoma"/>
            <family val="2"/>
          </rPr>
          <t>Includes steel aerosol containers that are at least 95% by weight aluminum.</t>
        </r>
      </text>
    </comment>
    <comment ref="D46" authorId="0" shapeId="0" xr:uid="{00000000-0006-0000-0B00-000020000000}">
      <text>
        <r>
          <rPr>
            <sz val="9"/>
            <color indexed="81"/>
            <rFont val="Tahoma"/>
            <family val="2"/>
          </rPr>
          <t>Containers that are more than 50% by weight of steel or other metal.</t>
        </r>
      </text>
    </comment>
    <comment ref="D47" authorId="0" shapeId="0" xr:uid="{00000000-0006-0000-0B00-000021000000}">
      <text>
        <r>
          <rPr>
            <sz val="9"/>
            <color indexed="81"/>
            <rFont val="Tahoma"/>
            <family val="2"/>
          </rPr>
          <t>Clear Glass Container Clear glass containers that are 50% or more glass by weight. Excludes Pyrex, ceramics or crystal.</t>
        </r>
      </text>
    </comment>
    <comment ref="D48" authorId="0" shapeId="0" xr:uid="{00000000-0006-0000-0B00-000022000000}">
      <text>
        <r>
          <rPr>
            <sz val="9"/>
            <color indexed="81"/>
            <rFont val="Tahoma"/>
            <family val="2"/>
          </rPr>
          <t>Clear Glass Container Clear glass containers that are 50% or more glass by weight. Excludes Pyrex, ceramics or crystal.</t>
        </r>
      </text>
    </comment>
    <comment ref="B50" authorId="0" shapeId="0" xr:uid="{00000000-0006-0000-0B00-000003000000}">
      <text>
        <r>
          <rPr>
            <sz val="8"/>
            <color indexed="81"/>
            <rFont val="Tahoma"/>
            <family val="2"/>
          </rPr>
          <t xml:space="preserve">Enter the Type, Size/Format, and number of batteries. If the product is not a battery or does not contain battery, please leave this section blank.
</t>
        </r>
      </text>
    </comment>
    <comment ref="C50" authorId="0" shapeId="0" xr:uid="{00000000-0006-0000-0B00-000007000000}">
      <text>
        <r>
          <rPr>
            <sz val="8"/>
            <color indexed="81"/>
            <rFont val="Tahoma"/>
            <family val="2"/>
          </rPr>
          <t xml:space="preserve">Additional information is </t>
        </r>
        <r>
          <rPr>
            <b/>
            <u/>
            <sz val="8"/>
            <color indexed="81"/>
            <rFont val="Tahoma"/>
            <family val="2"/>
          </rPr>
          <t>required by law</t>
        </r>
        <r>
          <rPr>
            <sz val="8"/>
            <color indexed="81"/>
            <rFont val="Tahoma"/>
            <family val="2"/>
          </rPr>
          <t xml:space="preserve"> for all product powered by lithium batteries or cells.  
Please review the following policies on Best Buy’s Vendor Partner Portal for more information:
• SKU Setup Policy and Guidelines – Canada
• Transportation of Dangerous Goods - Canada
</t>
        </r>
        <r>
          <rPr>
            <b/>
            <sz val="8"/>
            <color indexed="81"/>
            <rFont val="Tahoma"/>
            <family val="2"/>
          </rPr>
          <t>Action Required:</t>
        </r>
        <r>
          <rPr>
            <sz val="8"/>
            <color indexed="81"/>
            <rFont val="Tahoma"/>
            <family val="2"/>
          </rPr>
          <t xml:space="preserve">  Vendors must submit one of each of SDS and TS documents for lithium batteries, saved as separate files; or a combined SDS and TS document as one file. 
When Regular battery (ie Alkaline or Silver Oxide based) is selected, only Size/Format and Quantity are required to be provided.</t>
        </r>
        <r>
          <rPr>
            <b/>
            <sz val="8"/>
            <color indexed="81"/>
            <rFont val="Tahoma"/>
            <family val="2"/>
          </rPr>
          <t xml:space="preserve">
</t>
        </r>
        <r>
          <rPr>
            <sz val="8"/>
            <color indexed="81"/>
            <rFont val="Tahoma"/>
            <family val="2"/>
          </rPr>
          <t xml:space="preserve">
</t>
        </r>
      </text>
    </comment>
    <comment ref="B100" authorId="0" shapeId="0" xr:uid="{00000000-0006-0000-0B00-000004000000}">
      <text>
        <r>
          <rPr>
            <sz val="8"/>
            <color indexed="81"/>
            <rFont val="Tahoma"/>
            <family val="2"/>
          </rPr>
          <t xml:space="preserve">
Enter the corresponding UN# and the quantities. If not required, leave it blank</t>
        </r>
      </text>
    </comment>
    <comment ref="C100" authorId="0" shapeId="0" xr:uid="{00000000-0006-0000-0B00-000008000000}">
      <text>
        <r>
          <rPr>
            <b/>
            <sz val="8"/>
            <color indexed="81"/>
            <rFont val="Tahoma"/>
            <family val="2"/>
          </rPr>
          <t>BBYC</t>
        </r>
        <r>
          <rPr>
            <sz val="8"/>
            <color indexed="81"/>
            <rFont val="Tahoma"/>
            <family val="2"/>
          </rPr>
          <t xml:space="preserve"> requires all new products that contain dangerous goods content to provide additional information as required under the Transportation of Dangerous Goods Act, and to keep our employees and partners safe while handling these products. 
New dangerous goods products may qualify to be shipped/handled in “limited quantities” based on a specified maximum limit of dangerous goods content per individual unit. 
This maximum limit is determined by the UN number classification of the dangerous goods in question.
This form allows for up to 4 entries of new products. Please provide the following:
• Accompanying UN number for your product(s)
• If your product is a liquid or aerosol: provide the volume of an individual container in Liters (L)
• If your product is a solid: please provide the weight of an individual unit in Kilograms (kg)
If necessary, a UN number helper tool is available for your convenience. Double click one of the UN number input cells to activate the UN number helper tool.
Please provide the unique SDS Reference ID for each product you have entered into the sheet.
Please also provide the Vendor Acknowledgement for each product that is a dangerous good.
</t>
        </r>
      </text>
    </comment>
    <comment ref="B119" authorId="0" shapeId="0" xr:uid="{00000000-0006-0000-0B00-000005000000}">
      <text>
        <r>
          <rPr>
            <sz val="8"/>
            <color indexed="81"/>
            <rFont val="Tahoma"/>
            <family val="2"/>
          </rPr>
          <t xml:space="preserve">Enter the corresponding compliance number.  If not required, leave it blank
If the product has multiple certifications, enter each   certification number appropriately
Refers to certification system or processes intended to determine if a product meets minimum standards and regulations
</t>
        </r>
      </text>
    </comment>
  </commentList>
</comments>
</file>

<file path=xl/sharedStrings.xml><?xml version="1.0" encoding="utf-8"?>
<sst xmlns="http://schemas.openxmlformats.org/spreadsheetml/2006/main">
  <si>
    <t>SDS BATTERIES ID2</t>
  </si>
  <si>
    <t>Inner Pack Qty for additional supplier 3</t>
  </si>
  <si>
    <t>SDS BATTERIES ID3</t>
  </si>
  <si>
    <t>4LR44 (6V Camera)</t>
  </si>
  <si>
    <r>
      <rPr>
        <b/>
        <sz val="8"/>
        <color rgb="FF000000"/>
        <rFont val="Calibri"/>
        <family val="2"/>
        <scheme val="minor"/>
      </rPr>
      <t>Values:</t>
    </r>
    <r>
      <rPr>
        <sz val="8"/>
        <color rgb="FF000000"/>
        <rFont val="Calibri"/>
        <family val="2"/>
        <scheme val="minor"/>
      </rPr>
      <t xml:space="preserve"> 1,2,3,4,5</t>
    </r>
  </si>
  <si>
    <t>RA_PRIVACY_INSTRUCTION_CODE</t>
  </si>
  <si>
    <t>MT616</t>
  </si>
  <si>
    <t>TSID1.IGNORE</t>
  </si>
  <si>
    <t>Television HBO BLU-RAY</t>
  </si>
  <si>
    <t>Indicate Y, if Trade-in (B) and Used Games (C)  are required</t>
  </si>
  <si>
    <t>25 YEARS_9125</t>
  </si>
  <si>
    <t>SHELF LIFE</t>
  </si>
  <si>
    <t>If the product has integrated memory that can store confidential data, please select Y, otherwise, select N.
It is the Vendor’s responsibility to ensure that all information is accurately completed. Best Buy Canada Ltd. accepts no responsibility and will seek indemnification from the Vendor for any damages or liability arising from incorrect or incomplete information.</t>
  </si>
  <si>
    <t>SKU OWNER</t>
  </si>
  <si>
    <t>Height is measured from Top to Bottom.   For single sellable unit with box, used for Warehouse space planning</t>
  </si>
  <si>
    <t>SR69 (LR921)</t>
  </si>
  <si>
    <t>Nickel-Metal Hydride (NiMH)</t>
  </si>
  <si>
    <t>IGNORE3.2</t>
  </si>
  <si>
    <t>GenLCamera_GCL</t>
  </si>
  <si>
    <r>
      <rPr>
        <b/>
        <sz val="8"/>
        <rFont val="Calibri"/>
        <family val="2"/>
        <scheme val="minor"/>
      </rPr>
      <t>Values:</t>
    </r>
    <r>
      <rPr>
        <sz val="8"/>
        <color rgb="FF000000"/>
        <rFont val="Calibri"/>
        <family val="2"/>
        <scheme val="minor"/>
      </rPr>
      <t xml:space="preserve">  Y/N. Most products are defaulted to </t>
    </r>
    <r>
      <rPr>
        <b/>
        <sz val="8"/>
        <color rgb="FF000000"/>
        <rFont val="Calibri"/>
        <family val="2"/>
        <scheme val="minor"/>
      </rPr>
      <t>N</t>
    </r>
    <r>
      <rPr>
        <sz val="8"/>
        <color rgb="FF000000"/>
        <rFont val="Calibri"/>
        <family val="2"/>
        <scheme val="minor"/>
      </rPr>
      <t xml:space="preserve">, please change to </t>
    </r>
    <r>
      <rPr>
        <b/>
        <sz val="8"/>
        <color rgb="FF000000"/>
        <rFont val="Calibri"/>
        <family val="2"/>
        <scheme val="minor"/>
      </rPr>
      <t>Y</t>
    </r>
    <r>
      <rPr>
        <sz val="8"/>
        <color rgb="FF000000"/>
        <rFont val="Calibri"/>
        <family val="2"/>
        <scheme val="minor"/>
      </rPr>
      <t xml:space="preserve"> if product is an accessory. </t>
    </r>
  </si>
  <si>
    <t>RESELL AS OPEN BOX</t>
  </si>
  <si>
    <t>Data Wipe Required - In Store_2</t>
  </si>
  <si>
    <t>For GS Skus
Is being applicable for coverage during the manufacture warranty period.</t>
  </si>
  <si>
    <t>Warner_15</t>
  </si>
  <si>
    <t>PRP_R</t>
  </si>
  <si>
    <t>SKU Owner</t>
  </si>
  <si>
    <t>accsetup</t>
  </si>
  <si>
    <t>1,2-DICHLORO-1,1,2,2,-TETRAFLUOROETHANE - REFRIDGERANT GAS R 114</t>
  </si>
  <si>
    <t>DRUM &amp; BASS</t>
  </si>
  <si>
    <r>
      <rPr>
        <b/>
        <sz val="10"/>
        <color theme="1"/>
        <rFont val="Calibri"/>
        <family val="2"/>
        <scheme val="minor"/>
      </rPr>
      <t xml:space="preserve">Finished goods sold as </t>
    </r>
    <r>
      <rPr>
        <sz val="10"/>
        <color theme="1"/>
        <rFont val="Calibri"/>
        <family val="2"/>
        <scheme val="minor"/>
      </rPr>
      <t xml:space="preserve">Paper for General Use: Printing Paper, Craft Paper, Notebooks, Journals </t>
    </r>
  </si>
  <si>
    <t>Promotion SKU_PRMSKU</t>
  </si>
  <si>
    <t>p11.PKG.11.0.KG.*.B</t>
  </si>
  <si>
    <t>18650 (3.2V)</t>
  </si>
  <si>
    <t>18500 (3.2V)</t>
  </si>
  <si>
    <t>BATT_EXTRA_INFO</t>
  </si>
  <si>
    <t>SKU 12</t>
  </si>
  <si>
    <t>DIMENSION (CM): WIDTH (NO BOX)</t>
  </si>
  <si>
    <t>MAIL ORDER PACKAGING</t>
  </si>
  <si>
    <t>GenLAppliance_GAL</t>
  </si>
  <si>
    <t>7_Microsoft_NoCheckDigit</t>
  </si>
  <si>
    <t>SOFTWARE_RATING</t>
  </si>
  <si>
    <t xml:space="preserve">FULFILLMENT_TYPE </t>
  </si>
  <si>
    <t>DYE INTERMEDIATE, LIQUID, TOXIC, NOS; OR DYE, LIQUID, TOXIC, NOS</t>
  </si>
  <si>
    <t>LDPE/HDPE Plastic Film</t>
  </si>
  <si>
    <t>Number of units in the shipping container, should be equal or greater than inner qty</t>
  </si>
  <si>
    <t>CHILDRENS</t>
  </si>
  <si>
    <t>GSP AD Plus Wireless_PPC</t>
  </si>
  <si>
    <t>Commercial Sales Warranty_COM</t>
  </si>
  <si>
    <t>Ungroup (click on [+] at left) of each group to enter data</t>
  </si>
  <si>
    <t>Used Games SKU's_UGRTN</t>
  </si>
  <si>
    <t>Nickel-Cadmium (NiCd)</t>
  </si>
  <si>
    <t>STORE ORDER MULTIPLE</t>
  </si>
  <si>
    <t>LTL Curbside_2</t>
  </si>
  <si>
    <t>SKU 16</t>
  </si>
  <si>
    <t>WARRANTY WITH PSP/GSP</t>
  </si>
  <si>
    <t>VHS_VH</t>
  </si>
  <si>
    <t>Select_9</t>
  </si>
  <si>
    <t>CASE PACK QTY FOR ADDITIONAL SUPPLIER(7)</t>
  </si>
  <si>
    <t>Sheet Protection Password</t>
  </si>
  <si>
    <t>Desktop Monthly_FDM</t>
  </si>
  <si>
    <t>GenLWireless_GWL</t>
  </si>
  <si>
    <t>HEXAFLUOROPROPYLENE - REFRIDGERANT GAS R 1216</t>
  </si>
  <si>
    <t>Shenzhen, CN_33</t>
  </si>
  <si>
    <t>SR59 (LR726/1163SO)</t>
  </si>
  <si>
    <t>WOOD PRESERVATIVES, LIQUID</t>
  </si>
  <si>
    <t>Nintendo Switch_SWITCH</t>
  </si>
  <si>
    <t>RA_RESTOCK_FEE_PCT</t>
  </si>
  <si>
    <t xml:space="preserve">Supp2_Unit_Cost </t>
  </si>
  <si>
    <t>SKU 1</t>
  </si>
  <si>
    <t>If the product is under manufacturer warranty but is neither serviceable nor exchangeable by BBYC, Vendor's Contact Number must be provided (ex: 8004561000)</t>
  </si>
  <si>
    <t>DELIVERY UPCHARGE</t>
  </si>
  <si>
    <t>Supp7_Supp_Pack_Size</t>
  </si>
  <si>
    <t>SOFTWARE_PLATFORM</t>
  </si>
  <si>
    <t>Western BLU-RAY</t>
  </si>
  <si>
    <t>CR11108</t>
  </si>
  <si>
    <t>Values:  Y/N.  Defaulted to Y.  If not returnable, change the value to N</t>
  </si>
  <si>
    <t>KG</t>
  </si>
  <si>
    <t>LR41</t>
  </si>
  <si>
    <t>LOCALLY_INVENTORIED_PRODUCT</t>
  </si>
  <si>
    <t>Supplier7</t>
  </si>
  <si>
    <t>Zinc Air Coin/Button</t>
  </si>
  <si>
    <t>International DVD</t>
  </si>
  <si>
    <t>BATH</t>
  </si>
  <si>
    <t>FileName 8 (BBYC INTERNAL USE ONLY)</t>
  </si>
  <si>
    <t>RA_RESELL_AS_OB</t>
  </si>
  <si>
    <t>5 YEARS_1825</t>
  </si>
  <si>
    <t>BATF</t>
  </si>
  <si>
    <t>GSP AD Plus Hybrids_PPH</t>
  </si>
  <si>
    <t>Organophosphorus pesticides, liquid, flammable, toxic, flashpoint less than 23 °C</t>
  </si>
  <si>
    <t>SKU 48</t>
  </si>
  <si>
    <t>ADD STORES</t>
  </si>
  <si>
    <t>MIN_LAYAWAY_DEPOSIT</t>
  </si>
  <si>
    <t>MSPOSA_MSPOSA</t>
  </si>
  <si>
    <t xml:space="preserve">Please ensure that you have BBYC setup sheet and SMART Sheet  filled-out accordingly, with complete requirements and details provided accurately from initial set-up to avoid processing delay. </t>
  </si>
  <si>
    <t>SDS LIMITED QUANTITIES 6</t>
  </si>
  <si>
    <t>VSC_3</t>
  </si>
  <si>
    <t>GAS, REFRIGERATED LIQUID, N.O.S.</t>
  </si>
  <si>
    <t>Supp5_Supp_Pack_Size</t>
  </si>
  <si>
    <t>Information to be filled by Merchant @ Best Buy Canada or Vendor</t>
  </si>
  <si>
    <t>p24.PKG.24.0.KG.*.B</t>
  </si>
  <si>
    <t>Case Pack Qty for additional supplier 6</t>
  </si>
  <si>
    <t>SUPPLIER2 (ADDITIONAL)</t>
  </si>
  <si>
    <r>
      <rPr>
        <b/>
        <sz val="8"/>
        <color rgb="FF000000"/>
        <rFont val="Calibri"/>
        <family val="2"/>
        <scheme val="minor"/>
      </rPr>
      <t>Values</t>
    </r>
    <r>
      <rPr>
        <sz val="8"/>
        <color rgb="FF000000"/>
        <rFont val="Calibri"/>
        <family val="2"/>
        <scheme val="minor"/>
      </rPr>
      <t>:  Y/N.  If "</t>
    </r>
    <r>
      <rPr>
        <b/>
        <sz val="8"/>
        <color rgb="FF000000"/>
        <rFont val="Calibri"/>
        <family val="2"/>
        <scheme val="minor"/>
      </rPr>
      <t>Y</t>
    </r>
    <r>
      <rPr>
        <sz val="8"/>
        <color rgb="FF000000"/>
        <rFont val="Calibri"/>
        <family val="2"/>
        <scheme val="minor"/>
      </rPr>
      <t>", ePOS will be prompted with Geek Squad service or replacement warranty options.</t>
    </r>
  </si>
  <si>
    <t>Unit Cost for additional supplier 2</t>
  </si>
  <si>
    <t>IGNORE5</t>
  </si>
  <si>
    <t xml:space="preserve">The yellow section is the input area.  It is conditionally formatted to change to No Color when value is entered - for easy visibility of blank fields/values not provided. </t>
  </si>
  <si>
    <r>
      <rPr>
        <b/>
        <sz val="10"/>
        <color rgb="FF000000"/>
        <rFont val="Calibri"/>
        <family val="2"/>
        <scheme val="minor"/>
      </rPr>
      <t>For Other Components</t>
    </r>
    <r>
      <rPr>
        <sz val="10"/>
        <color rgb="FF000000"/>
        <rFont val="Calibri"/>
        <family val="2"/>
        <scheme val="minor"/>
      </rPr>
      <t xml:space="preserve">
Enter the number of other components &amp; Mercury (Hg) content in milligram (MG)
The form allows upto 3 values for product with multiple components with varying amounts of Hg
Min - Max Qty: 0 - 100
Min - Max Weight: 0.0001 - 10000</t>
    </r>
  </si>
  <si>
    <t>ALLOW_QTY_OVERRIDE</t>
  </si>
  <si>
    <t>SKU 8</t>
  </si>
  <si>
    <t>FS_IN_STOCK_DATE</t>
  </si>
  <si>
    <t>ARTIST LAST NAME</t>
  </si>
  <si>
    <t>PENTAFLUOROETHANE - REFRIGERANT GAS R 125</t>
  </si>
  <si>
    <t>Playstation 2_PS2</t>
  </si>
  <si>
    <t>SUPPLIER6 (ADDITIONAL)</t>
  </si>
  <si>
    <t xml:space="preserve">Values: Y/N. For products shipped in case pack. If product is packaged individually select Y, otherwise, select N. </t>
  </si>
  <si>
    <t>UOM</t>
  </si>
  <si>
    <t>Offsite Tech Services_TECSER</t>
  </si>
  <si>
    <t>OTHER_4</t>
  </si>
  <si>
    <t>MT920</t>
  </si>
  <si>
    <t>SR936</t>
  </si>
  <si>
    <t>OCTAFLUOROBUT-2-ENE - REFRIGERANT GAS R 1318</t>
  </si>
  <si>
    <t>MT621</t>
  </si>
  <si>
    <t>Values:  Y/N.  If Y, product will be entitled for Over the Counter Exchange.  If N, and Service Under Mnf Warranty is also N, customer will be directed to Vendor for exchange or repair.</t>
  </si>
  <si>
    <t>C (HR14)</t>
  </si>
  <si>
    <t>CR1225 (5020LC)</t>
  </si>
  <si>
    <t>Supplier6</t>
  </si>
  <si>
    <t>WARRANTY_FLAG</t>
  </si>
  <si>
    <t>MSLQ8.MSDS.32.0.B.B.*</t>
  </si>
  <si>
    <t>Bangkok, TH_1</t>
  </si>
  <si>
    <t>Fox_12</t>
  </si>
  <si>
    <t>Lithium-Ion Battery</t>
  </si>
  <si>
    <t>Sports BLU-RAY</t>
  </si>
  <si>
    <t>RHYTHM &amp; BLUES</t>
  </si>
  <si>
    <t>Tape_TP</t>
  </si>
  <si>
    <t>AVANTI CONFECTIONARY_ACON</t>
  </si>
  <si>
    <t>CR-P2 (CR-P2/5024LC)</t>
  </si>
  <si>
    <t>Lantern (Big) 4R25-2</t>
  </si>
  <si>
    <t>Selection Column</t>
  </si>
  <si>
    <t>Additional Supplier if  needed (ie: for Cross Dock, DTS, Regi, VMI, Air, replenishment)</t>
  </si>
  <si>
    <t>UN #</t>
  </si>
  <si>
    <t>Only to be used for dep 36 / 56</t>
  </si>
  <si>
    <t xml:space="preserve">If you are aware that product for set-up has new manufacturer name, please ensure to provide the manufacturer's website to your BBYC contact </t>
  </si>
  <si>
    <t>ENERGY EFFICIENCY REGULATIONS APPLY</t>
  </si>
  <si>
    <t>Prepaid Pin Based Cards_PRPDW</t>
  </si>
  <si>
    <t>VENDOR PART NO.</t>
  </si>
  <si>
    <t>SR43 (LR1142/1133SO)</t>
  </si>
  <si>
    <t>ENT_CFG_CODE</t>
  </si>
  <si>
    <t>p36.PKG.36.0.KG.*.B</t>
  </si>
  <si>
    <t>SR416 (SR416)</t>
  </si>
  <si>
    <t>SKU 35</t>
  </si>
  <si>
    <t>PLA, PHA, PHB  Container/ Packaging- Non- Beverage</t>
  </si>
  <si>
    <t>N (LR1)</t>
  </si>
  <si>
    <t>LIGHTERS OR LIGHTER REFILLS CONTAINING FLAMMABLE GAS</t>
  </si>
  <si>
    <t>SKU_OWNER</t>
  </si>
  <si>
    <t>Lifetime_9999</t>
  </si>
  <si>
    <t>Domestic</t>
  </si>
  <si>
    <t>Case Pack Qty for additional supplier 9</t>
  </si>
  <si>
    <t>1-CHLORO-1,1-DIFLUOROETHANE - REFRIGERANT GAS R 142b</t>
  </si>
  <si>
    <t>SKU 4</t>
  </si>
  <si>
    <t>SR54 (SR1131)</t>
  </si>
  <si>
    <t>CELTIC</t>
  </si>
  <si>
    <t>T-Shirt_SH</t>
  </si>
  <si>
    <t>Gameboy Advance_GBA</t>
  </si>
  <si>
    <t>Product Warranty Days</t>
  </si>
  <si>
    <t>Vietnam_13</t>
  </si>
  <si>
    <t>SDS LIMITED QUANTITIES 8</t>
  </si>
  <si>
    <t>- Packaging</t>
  </si>
  <si>
    <t>GOSPEL</t>
  </si>
  <si>
    <t>Musicals DVD</t>
  </si>
  <si>
    <t>CASE PACK QTY</t>
  </si>
  <si>
    <t>BBYC requires French compliant products, please ensure that you indicate accordingly if the product is compliant or is ENGLISH only.  
However, in cases where</t>
  </si>
  <si>
    <t>L1.LIMQ.1.0.B.B.*</t>
  </si>
  <si>
    <t>m3.MERC.3.*.MG.X.B</t>
  </si>
  <si>
    <t>C1.CERT.8.0.B.B.*</t>
  </si>
  <si>
    <t>SUPPLIER6</t>
  </si>
  <si>
    <t>Manganese Titanium Lithium</t>
  </si>
  <si>
    <t>IGNORE14</t>
  </si>
  <si>
    <t>9V</t>
  </si>
  <si>
    <t>60 DAYS_60</t>
  </si>
  <si>
    <t xml:space="preserve">Select accordingly from the list </t>
  </si>
  <si>
    <t>IGNORE10.6</t>
  </si>
  <si>
    <t>Supp4_Supp_Pack_Size</t>
  </si>
  <si>
    <t>POP/ROCK METAL</t>
  </si>
  <si>
    <t>RETURNABLE</t>
  </si>
  <si>
    <t>LS Computers Carry-in_ISL</t>
  </si>
  <si>
    <t>Gable Top Containers</t>
  </si>
  <si>
    <t>TS BATTERIES ID1</t>
  </si>
  <si>
    <t>EXTRACTS, AROMATIC, LIQUID</t>
  </si>
  <si>
    <r>
      <rPr>
        <b/>
        <sz val="10"/>
        <color rgb="FFFF0000"/>
        <rFont val="Calibri"/>
        <family val="2"/>
        <scheme val="minor"/>
      </rPr>
      <t>OTHER CERTIFICATION SECTION</t>
    </r>
    <r>
      <rPr>
        <b/>
        <sz val="10"/>
        <color rgb="FF000000"/>
        <rFont val="Calibri"/>
        <family val="2"/>
        <scheme val="minor"/>
      </rPr>
      <t xml:space="preserve">
</t>
    </r>
  </si>
  <si>
    <t>SERVICE_UNDER_MNF_WRNTY</t>
  </si>
  <si>
    <t>MODEL</t>
  </si>
  <si>
    <t>SKU</t>
  </si>
  <si>
    <t>Television British BLU-RAY</t>
  </si>
  <si>
    <t xml:space="preserve">STAFF PURCHASE </t>
  </si>
  <si>
    <t>SERVICE TYPE</t>
  </si>
  <si>
    <t>Memlump_GSL</t>
  </si>
  <si>
    <t>MSIDLQ5.IGNORE</t>
  </si>
  <si>
    <t>Bat3 - Type</t>
  </si>
  <si>
    <t>NORTHWEST TERRITORIES_NT</t>
  </si>
  <si>
    <t>MERCHANDISE_IND</t>
  </si>
  <si>
    <t>26650 (3.2V)</t>
  </si>
  <si>
    <t># of Skus</t>
  </si>
  <si>
    <t>Playstation 1_PS</t>
  </si>
  <si>
    <t>Yantian, CN_31</t>
  </si>
  <si>
    <t>SOLID</t>
  </si>
  <si>
    <t>SO Reclaims_7</t>
  </si>
  <si>
    <t>Specifiesthe date when the promotion sku/coupon  ends</t>
  </si>
  <si>
    <t>SKU 40</t>
  </si>
  <si>
    <t>CR2 (CR17355/5046LC)</t>
  </si>
  <si>
    <t>Entertainment Software Rating Board (ESRB) ratings.  Select values from the list, leave it blank if not applicable</t>
  </si>
  <si>
    <t>FS_PERF_CODE</t>
  </si>
  <si>
    <t>LAYAWAY DEPOSIT ALLOWED</t>
  </si>
  <si>
    <t xml:space="preserve">Supp4_Unit_Cost </t>
  </si>
  <si>
    <t>POACHABLE_IND</t>
  </si>
  <si>
    <t>VOCAL CLASSICAL</t>
  </si>
  <si>
    <t>If product being setup is considered hazardous or containing hazardous materials, ensure that vendor provided the appropriate MSDS sheet and send it along with the completed SKU Setup Form and Content Smart Sheet to supportoffice_MSO.  When "Hazardous Product/Material" = Y, MSDS form must be submitted, else, setup request will be returned.
For Battery containing Lithium, ensure that vendor provided additional information required under the Transportation of Dangerous Goods Act  - in the Battery section of the Product Compliance tab.</t>
  </si>
  <si>
    <t>No Tech Check_0</t>
  </si>
  <si>
    <t>1-CHLORO-2,2,2-TRIFLUOROETHANE - REFRIGERANT GAS R 133a</t>
  </si>
  <si>
    <r>
      <rPr>
        <b/>
        <sz val="8"/>
        <color rgb="FF000000"/>
        <rFont val="Calibri"/>
        <family val="2"/>
        <scheme val="minor"/>
      </rPr>
      <t xml:space="preserve">Values:  Y/N. </t>
    </r>
    <r>
      <rPr>
        <sz val="8"/>
        <color rgb="FF000000"/>
        <rFont val="Calibri"/>
        <family val="2"/>
        <scheme val="minor"/>
      </rPr>
      <t xml:space="preserve">Defaulted to </t>
    </r>
    <r>
      <rPr>
        <b/>
        <sz val="8"/>
        <color rgb="FF000000"/>
        <rFont val="Calibri"/>
        <family val="2"/>
        <scheme val="minor"/>
      </rPr>
      <t>Y</t>
    </r>
    <r>
      <rPr>
        <sz val="8"/>
        <color rgb="FF000000"/>
        <rFont val="Calibri"/>
        <family val="2"/>
        <scheme val="minor"/>
      </rPr>
      <t xml:space="preserve">.  If change to </t>
    </r>
    <r>
      <rPr>
        <b/>
        <sz val="8"/>
        <color rgb="FF000000"/>
        <rFont val="Calibri"/>
        <family val="2"/>
        <scheme val="minor"/>
      </rPr>
      <t>N</t>
    </r>
    <r>
      <rPr>
        <sz val="8"/>
        <color rgb="FF000000"/>
        <rFont val="Calibri"/>
        <family val="2"/>
        <scheme val="minor"/>
      </rPr>
      <t xml:space="preserve">, Staff Purchase will not be allowed </t>
    </r>
  </si>
  <si>
    <t>Nintendo DS_DS</t>
  </si>
  <si>
    <t>LABOUR WARRANTY DAYS (ON SITE)</t>
  </si>
  <si>
    <t>Default to N/A</t>
  </si>
  <si>
    <t xml:space="preserve">The Limited Quantities section allows for up to 4 entries. Please refer to Column C for detail descriptions, and refer to Column D for expected values. 
• Please input the UN number specific to your product(s)
• If your product is a liquid or aerosol: provide the volume of an individual container in Liters (L)
• If your product is a solid: please provide the weight of an individual unit in Kilograms (kg)
If required, a UN number helper tool is available for your convenience. Double click one of the UN number input cells to activate the UN number helper tool.
</t>
  </si>
  <si>
    <t>Tech Check L1_1</t>
  </si>
  <si>
    <t>1 - *Qty (total no. of batteries for this type)</t>
  </si>
  <si>
    <t>SOFTWARE PLATFORM</t>
  </si>
  <si>
    <t>Inner Pack_I</t>
  </si>
  <si>
    <t>LS PEP B_PBL</t>
  </si>
  <si>
    <t>PVC (Polyvinyl Chloride)</t>
  </si>
  <si>
    <t>SUPPLIER CONTACT</t>
  </si>
  <si>
    <t>If not applicable, leave it null. 
Select options from dropdown.  In some areas, this field is being used for process or reporting purposes.</t>
  </si>
  <si>
    <t>Linux_LINUX</t>
  </si>
  <si>
    <t>DIMENSION (KG): WEIGHT (WITH BOX)</t>
  </si>
  <si>
    <t>3 YEARS_1095</t>
  </si>
  <si>
    <t>BAT5</t>
  </si>
  <si>
    <t>There is only 1 form available for all set-up types that will enable single or multiple set-ups. The appropriate form will be visible for you as you answer or select values from Row #7.</t>
  </si>
  <si>
    <t>GSP Plus Appliances_PAM</t>
  </si>
  <si>
    <t>RA_SERV_STKUNIT_UNDRMNF_WRNTY</t>
  </si>
  <si>
    <t xml:space="preserve">BR1225 </t>
  </si>
  <si>
    <t>TYPE_CODE</t>
  </si>
  <si>
    <t>IGNORE10.4</t>
  </si>
  <si>
    <t>PAINT OR PAINT-RELATED MATERIAL</t>
  </si>
  <si>
    <t>b3.X.X.X.KG.B.*</t>
  </si>
  <si>
    <t>D (LR20)</t>
  </si>
  <si>
    <t>Tablet AD Renewal_TDR</t>
  </si>
  <si>
    <t>Number of units inside the case, normally set to 1.  Should be equal or less than case qty</t>
  </si>
  <si>
    <t>Ad Hoc Acquisition_ADHOC</t>
  </si>
  <si>
    <t>TSID2.IGNORE</t>
  </si>
  <si>
    <t>SR42 (SR1142)</t>
  </si>
  <si>
    <t>SKU 14</t>
  </si>
  <si>
    <t>Extra Info for Battery 4</t>
  </si>
  <si>
    <t>AAA (FR03/24LF)</t>
  </si>
  <si>
    <t>RETAIL PRICE</t>
  </si>
  <si>
    <t>ONTARIO_ON</t>
  </si>
  <si>
    <t>p8.PKG.8.0.KG.*.B</t>
  </si>
  <si>
    <t>12 OR 13 Digits/Number, not mandatory for Non_Inv except for Confectionary items</t>
  </si>
  <si>
    <t>1,1,1-TRIFLUOROETHANE - REFRIGERANT GAS R 143a</t>
  </si>
  <si>
    <t>Length/Depth is measured from Left to Right (longest dimension).   For single sellable unit without box/actual physical product, used for Store shelf space planning. List measurements as product would exist stored on shelf (example: cords measured coiled up NOT expanded to max length).</t>
  </si>
  <si>
    <t>BOX SETS</t>
  </si>
  <si>
    <t>BATP</t>
  </si>
  <si>
    <t>INNER PACK QTY FOR ADDITIONAL SUPPLIER(7)</t>
  </si>
  <si>
    <t>RA_RESELL</t>
  </si>
  <si>
    <t>Restocking Fee_RSTOC</t>
  </si>
  <si>
    <t>3_MICROSOFT</t>
  </si>
  <si>
    <t>SUPPLIER (PRIMARY)</t>
  </si>
  <si>
    <t>Information to be filled by Vendor</t>
  </si>
  <si>
    <t>Supp8_Supp_Pack_Size</t>
  </si>
  <si>
    <t>2 - *Qty (total no. of batteries for this type)</t>
  </si>
  <si>
    <t>MAX QTY ALLOWED</t>
  </si>
  <si>
    <t>ANDROID_ANDR</t>
  </si>
  <si>
    <t>GPS AD Plus TV_PPV</t>
  </si>
  <si>
    <t>Days required from PO receipt by vendor to delivery date.  The minimum is 7 days.</t>
  </si>
  <si>
    <t>RCR123A</t>
  </si>
  <si>
    <t>p13.PKG.13.0.KG.*.B</t>
  </si>
  <si>
    <t>Port Kelang, MY_19</t>
  </si>
  <si>
    <t>VPN</t>
  </si>
  <si>
    <t>Supplier Contact</t>
  </si>
  <si>
    <t>METHYL CHLORIDE - REFRIGERANT GAS R 40</t>
  </si>
  <si>
    <t>AA (KR6/1.2K2)</t>
  </si>
  <si>
    <t>p4.PKG.4.0.KG.*.B</t>
  </si>
  <si>
    <t>LIMITED QUANTITIES</t>
  </si>
  <si>
    <t>Television British DVD</t>
  </si>
  <si>
    <t>FLAMMABLE LIQUID NOS</t>
  </si>
  <si>
    <t>Studio Name</t>
  </si>
  <si>
    <t>TERM</t>
  </si>
  <si>
    <t>NO_DISCOUNT</t>
  </si>
  <si>
    <t>MANUFACTURER_WARRANTY</t>
  </si>
  <si>
    <t>RA_SERIAL_REQ_FOR_RETURN</t>
  </si>
  <si>
    <t>Select a Set-Up type:</t>
  </si>
  <si>
    <t>2 - Watt Hours</t>
  </si>
  <si>
    <t>FORECASTABLE</t>
  </si>
  <si>
    <t>Supplier5</t>
  </si>
  <si>
    <t>IGNORE3.5</t>
  </si>
  <si>
    <t>ALERT INFORMATION</t>
  </si>
  <si>
    <t>SHORT_DESC</t>
  </si>
  <si>
    <t>STUDIO NAME</t>
  </si>
  <si>
    <t>Zhongshan,CN_39</t>
  </si>
  <si>
    <t>PEG_HOOK_FLAG</t>
  </si>
  <si>
    <t>SUPP_COLOR</t>
  </si>
  <si>
    <t>VARIOUS</t>
  </si>
  <si>
    <t>Serial Required for RTV</t>
  </si>
  <si>
    <t>AEROSOL , NON-FLAMMABLE</t>
  </si>
  <si>
    <t>Expanded Polystyrene, Styrofoam- Other</t>
  </si>
  <si>
    <t>Regular_R</t>
  </si>
  <si>
    <t>Xiamen, CN_30</t>
  </si>
  <si>
    <t>Playstation 4_PS4</t>
  </si>
  <si>
    <t>SDS LIMITED QUANTITIES 3</t>
  </si>
  <si>
    <t>Substituted nitrophenol pesticides, liquid, toxic, flammable, flashpoint not less than 23 °C</t>
  </si>
  <si>
    <t>RESELL_AS_OB</t>
  </si>
  <si>
    <t>SKU 26</t>
  </si>
  <si>
    <t>For VDF administrators to check if the GM% meets VDF minimum GM requirements.</t>
  </si>
  <si>
    <t>Reward Zone Redemption_RZRED</t>
  </si>
  <si>
    <t>RETURN TO VENDOR OPEN BOX DAYS</t>
  </si>
  <si>
    <t>8 OR 12 OR 13 Digits/Number. Acceptable UPC TYPE: UPC-E, UPC-A and EAN13.  Not mandatory for Non_Inventory products.</t>
  </si>
  <si>
    <t>RA_REQUIRED_COMPONENTS</t>
  </si>
  <si>
    <t xml:space="preserve">Supp5_Unit_Cost </t>
  </si>
  <si>
    <t>IGNORE 3.20</t>
  </si>
  <si>
    <r>
      <rPr>
        <b/>
        <sz val="8"/>
        <color rgb="FF000000"/>
        <rFont val="Calibri"/>
        <family val="2"/>
        <scheme val="minor"/>
      </rPr>
      <t xml:space="preserve">Values: </t>
    </r>
    <r>
      <rPr>
        <sz val="8"/>
        <color rgb="FF000000"/>
        <rFont val="Calibri"/>
        <family val="2"/>
        <scheme val="minor"/>
      </rPr>
      <t xml:space="preserve"> Case Pack, Inner Pack
</t>
    </r>
    <r>
      <rPr>
        <b/>
        <sz val="8"/>
        <color rgb="FF000000"/>
        <rFont val="Calibri"/>
        <family val="2"/>
        <scheme val="minor"/>
      </rPr>
      <t>Case Pack</t>
    </r>
    <r>
      <rPr>
        <sz val="8"/>
        <color rgb="FF000000"/>
        <rFont val="Calibri"/>
        <family val="2"/>
        <scheme val="minor"/>
      </rPr>
      <t xml:space="preserve"> enables replenishing stores in full case quantity.                           
 </t>
    </r>
    <r>
      <rPr>
        <b/>
        <sz val="8"/>
        <color rgb="FF000000"/>
        <rFont val="Calibri"/>
        <family val="2"/>
        <scheme val="minor"/>
      </rPr>
      <t>Inner Pack</t>
    </r>
    <r>
      <rPr>
        <sz val="8"/>
        <color rgb="FF000000"/>
        <rFont val="Calibri"/>
        <family val="2"/>
        <scheme val="minor"/>
      </rPr>
      <t xml:space="preserve"> enables replenishment in eaches</t>
    </r>
  </si>
  <si>
    <t>Specifiesthe date when the promotion sku/coupon  starts</t>
  </si>
  <si>
    <t>p25.PKG.25.0.KG.*.B</t>
  </si>
  <si>
    <t>4 - Cells in Lithium (single or multiple)</t>
  </si>
  <si>
    <t>Exchange_EX</t>
  </si>
  <si>
    <t>L3.LIMQ.3.0.B.B.*</t>
  </si>
  <si>
    <t>SR54 (SR1130)</t>
  </si>
  <si>
    <t>By submitting this form, I hereby declare that the materials have been accurately described by the proper name, are properly classified and will be properly packaged with any required dangerous goods’ safety information properly displayed.  All required documents have been provided to Best Buy in accordance with the Transportation of Dangerous Goods Regulations</t>
  </si>
  <si>
    <t>FileName 2 (BBYC INTERNAL USE ONLY)</t>
  </si>
  <si>
    <t>Compact Disc_CD</t>
  </si>
  <si>
    <t>4 - # of Batteries out of Product (outside)</t>
  </si>
  <si>
    <t>SKU 32</t>
  </si>
  <si>
    <t>SDS BATTERIES ID4</t>
  </si>
  <si>
    <t>DEPT</t>
  </si>
  <si>
    <t xml:space="preserve">Values: Y/N. If  Y,  ERA will force the serial number check between the sales invoice and the returned item. </t>
  </si>
  <si>
    <t>A23 (8LR50 )</t>
  </si>
  <si>
    <t>GSP Plus TV_PVM</t>
  </si>
  <si>
    <t>IGNORE3.7</t>
  </si>
  <si>
    <t>Sci-Fi BLU-RAY</t>
  </si>
  <si>
    <t>IGNORE7</t>
  </si>
  <si>
    <t>PLACEHOLDER/CONFIDENTIAL SKU</t>
  </si>
  <si>
    <t>International BLU-RAY</t>
  </si>
  <si>
    <t>UNIT COST FOR ADDITIONAL SUPPLIER(4)</t>
  </si>
  <si>
    <t>Province</t>
  </si>
  <si>
    <t>UMD_UM</t>
  </si>
  <si>
    <t>SR48 (LR754/1136SO)</t>
  </si>
  <si>
    <t>Paramount_11</t>
  </si>
  <si>
    <t>CR1612</t>
  </si>
  <si>
    <t>CASE PACK QTY FOR ADDITIONAL SUPPLIER(3)</t>
  </si>
  <si>
    <t>FS_OUT_OF_STOCK_DATE</t>
  </si>
  <si>
    <t>Universal_5</t>
  </si>
  <si>
    <t>b2.IGNORE</t>
  </si>
  <si>
    <t>PRODUCT WARRANTY DAYS</t>
  </si>
  <si>
    <t>Supplier2</t>
  </si>
  <si>
    <t>SKU 45</t>
  </si>
  <si>
    <t>2 - HAZMAT UN# (4 Digits)</t>
  </si>
  <si>
    <t>Wireless AD Lump Sum_TPL</t>
  </si>
  <si>
    <t xml:space="preserve">There are few location trait available on drop-down list. When selected, SKU will only be set-up on the specified location trait. Leave it null and sku will be set-up with all stores attached </t>
  </si>
  <si>
    <t>p30.PKG.30.0.KG.*.B</t>
  </si>
  <si>
    <t>FRENCH</t>
  </si>
  <si>
    <t>Mazatlan, MX_12</t>
  </si>
  <si>
    <t>SSU Internal Use - to track SKUs created with missing Packaging requirements</t>
  </si>
  <si>
    <t xml:space="preserve">PRE-ORDER </t>
  </si>
  <si>
    <t>PRICE LOCK</t>
  </si>
  <si>
    <t>A (R23)</t>
  </si>
  <si>
    <t>Haiphong,VN_41</t>
  </si>
  <si>
    <t>NON-FLAMMABLE</t>
  </si>
  <si>
    <t>9V (6HR61/7.2H5)</t>
  </si>
  <si>
    <t xml:space="preserve">For Music only, please choose the appropriate Genre on drop down list </t>
  </si>
  <si>
    <t>=IF(IF(ISERROR(VLOOKUP($C1,Gemini!$A:$B,2,0)),"",VLOOKUP($C1,Gemini!$A:$B,2,0))&lt;&gt;"",VLOOKUP($C1,Gemini!$A:$B,2,0),IF(OFFSET(Master_Table!$A$1,B1+1,Sel_Column)="","",OFFSET(Master_Table!$A$1,B1+1,Sel_Column)))</t>
  </si>
  <si>
    <t>Next</t>
  </si>
  <si>
    <t>SR59 (SR726)</t>
  </si>
  <si>
    <t>LAST_NAME</t>
  </si>
  <si>
    <t>L</t>
  </si>
  <si>
    <t>SUPPLIER5</t>
  </si>
  <si>
    <t>Service Spare Parts_PARTS</t>
  </si>
  <si>
    <t>UNIT COST FOR ADDITIONAL SUPPLIER(3)</t>
  </si>
  <si>
    <t>Fulfillment</t>
  </si>
  <si>
    <t>SUPPLIER_CONTACT</t>
  </si>
  <si>
    <t>Store Value Card  Reload_SVCR</t>
  </si>
  <si>
    <t>Supp1_Supp_Pack_Size</t>
  </si>
  <si>
    <t>PRE ORDER TIME (DAYS)</t>
  </si>
  <si>
    <t>Confectionery items (ie: food, beverage, greeting cards), prepaid cards, magazines, or other similar merchandise type do not require content specifications, content descriptions and image</t>
  </si>
  <si>
    <t>Software Rating</t>
  </si>
  <si>
    <t>SR64 (LR527)</t>
  </si>
  <si>
    <t>DICHLOROFLUOROMETHANE - REFRIDGERANT GAS R 21</t>
  </si>
  <si>
    <t>L1.LIMQ.1.*.B.B.B</t>
  </si>
  <si>
    <t>Pasir Gudang, MY_17</t>
  </si>
  <si>
    <t>LS Tablet AD_TAL</t>
  </si>
  <si>
    <t>SUPPLIER7</t>
  </si>
  <si>
    <t>FileName 3 (BBYC INTERNAL USE ONLY)</t>
  </si>
  <si>
    <t>FOLK</t>
  </si>
  <si>
    <t>PRICE ENTRY REQUIRED</t>
  </si>
  <si>
    <t>Resell as Open Box</t>
  </si>
  <si>
    <t>INNER PACK QTY</t>
  </si>
  <si>
    <t>SKU 18</t>
  </si>
  <si>
    <t>Flammable solids, toxic, organic, n.o.s.</t>
  </si>
  <si>
    <t>PP (Polypropylene)</t>
  </si>
  <si>
    <t xml:space="preserve">Upto 40 characters including spaces.  Do not put special character on the description.  Suggested Format: Brand Name, Model No., Product Description.  </t>
  </si>
  <si>
    <t>Fitness BLU-RAY</t>
  </si>
  <si>
    <t xml:space="preserve">Supp7_Unit_Cost </t>
  </si>
  <si>
    <t>BAT8</t>
  </si>
  <si>
    <t>DIVISION</t>
  </si>
  <si>
    <t>3 - # of Batteries out of Product (outside)</t>
  </si>
  <si>
    <t>MEDICINE, LIQUID, TOXIC, NOS</t>
  </si>
  <si>
    <t>ARGON, REFRIDGERATED LIQUID</t>
  </si>
  <si>
    <t>SKU 50</t>
  </si>
  <si>
    <t>GSP Plus Desktops_PDM</t>
  </si>
  <si>
    <t>CR123A</t>
  </si>
  <si>
    <t>3 - Cells in Lithium (single or multiple)</t>
  </si>
  <si>
    <t>DISPOSE IN STORE</t>
  </si>
  <si>
    <t>IGNORE2</t>
  </si>
  <si>
    <t>SKU_DESC</t>
  </si>
  <si>
    <t>1 YEAR_365</t>
  </si>
  <si>
    <t>SR65 (LR527)</t>
  </si>
  <si>
    <t>Quebecois DVD</t>
  </si>
  <si>
    <t>ALLOW QTY OVERRIDE</t>
  </si>
  <si>
    <t>LS Computers In-Home_IHL</t>
  </si>
  <si>
    <t>Dispose in Store</t>
  </si>
  <si>
    <t>Donation_DONATE</t>
  </si>
  <si>
    <t>PB_END_DATE</t>
  </si>
  <si>
    <t>p9.PKG.9.0.KG.*.B</t>
  </si>
  <si>
    <t>SKU 25</t>
  </si>
  <si>
    <t>If the product has an expiration date, please choose "Expiration Date_1". If the product has a lot number, please choose "Lot Number_2". If not applicable, please leave it blank.</t>
  </si>
  <si>
    <t>SKU_TYPE</t>
  </si>
  <si>
    <t>CR1025 (5033LC)</t>
  </si>
  <si>
    <t>GSP AD Plus Laptops_PPL</t>
  </si>
  <si>
    <t>LEAD TIME</t>
  </si>
  <si>
    <t>BATT_TYPE</t>
  </si>
  <si>
    <t>MS1.MSDS.5.0.B.B.*</t>
  </si>
  <si>
    <t>SDS and TS for Batteries</t>
  </si>
  <si>
    <t>Korea_4</t>
  </si>
  <si>
    <t>b4.X.X.X.KG.*.B</t>
  </si>
  <si>
    <t>If the product has an expiration date or lot number, please indicate its shelf life in days (i.e. if the product's shelf life is 1 year = 365 days, 2 years, 730 days, etc).</t>
  </si>
  <si>
    <t>NOTE:</t>
  </si>
  <si>
    <t>MUST_RECYCLE</t>
  </si>
  <si>
    <t>ENERGY_STAR</t>
  </si>
  <si>
    <t>Inner Pack Qty for additional supplier 9</t>
  </si>
  <si>
    <t>IGNORE 3.16</t>
  </si>
  <si>
    <t>DIMENSION (CM): LENGTH/DEPTH (NO BOX)</t>
  </si>
  <si>
    <t>Price Match Policy Days</t>
  </si>
  <si>
    <t>Values:  Y/N.  If Y, product is serviceable by BBYC. If N, and Support Mnf Warranty is also N, customer will be directed to Vendor for exchange or repair.</t>
  </si>
  <si>
    <t>MSLQ2.MSDS.26.0.B.B.*</t>
  </si>
  <si>
    <t>MSLQ6.MSDS.30.0.B.B.*</t>
  </si>
  <si>
    <t>IGNORE3.8</t>
  </si>
  <si>
    <t>Magazine (Time)_MAGT</t>
  </si>
  <si>
    <t>Expected Values</t>
  </si>
  <si>
    <t>ARTIST FIRST NAME</t>
  </si>
  <si>
    <t>UPC</t>
  </si>
  <si>
    <t>Information about the product that stores should know, including Recalls and/or Functionality Check Information. Maximum 256 characters.  Default to null/blank.</t>
  </si>
  <si>
    <t>Incomm PPD-Card based_PRPDO</t>
  </si>
  <si>
    <t>9V (6KR61/11604)</t>
  </si>
  <si>
    <t>SKU 21</t>
  </si>
  <si>
    <t>p26.PKG.26.0.KG.*.B</t>
  </si>
  <si>
    <t>PRICE_MATCH_POLICY_DAYS</t>
  </si>
  <si>
    <t>Width is measured from Front to Back. For single sellable unit without box/actual physical product, used for Store shelf space planning. List measurements as product would exist stored on shelf (example: cords measured coiled up NOT expanded to max length).</t>
  </si>
  <si>
    <t>MANUFACTURER WARRANTY</t>
  </si>
  <si>
    <t>RA_SERVICE_OUTSIDE_MNF_WRNTY</t>
  </si>
  <si>
    <t>NATIONAL INSTALLATION PROGRAM_INSTAL</t>
  </si>
  <si>
    <t>Family BLU-RAY</t>
  </si>
  <si>
    <t>IGNORE3.1</t>
  </si>
  <si>
    <t>USER_COMMENTS</t>
  </si>
  <si>
    <t>RA_RUN_DISPOSITION</t>
  </si>
  <si>
    <t>N-PROPANOL OR PROPYL ALCOHOL; NORMAL</t>
  </si>
  <si>
    <t>m6.MERC.6.*.MG.X.B</t>
  </si>
  <si>
    <t>L4.LIMQ.4.0.B.B.*</t>
  </si>
  <si>
    <t xml:space="preserve">Supp1_Unit_Cost </t>
  </si>
  <si>
    <t xml:space="preserve">Last Name of the Artist, name of the Band or names of mix artists </t>
  </si>
  <si>
    <t>DISPOSE_IN_STORE</t>
  </si>
  <si>
    <t>3 - Size/Format</t>
  </si>
  <si>
    <t>SKU 28</t>
  </si>
  <si>
    <t>POP/ROCK FRENCH</t>
  </si>
  <si>
    <t>RCR-V3 </t>
  </si>
  <si>
    <t>Promotion Plan_PRMPLN</t>
  </si>
  <si>
    <t xml:space="preserve">BBYC Setup Form Restrictions </t>
  </si>
  <si>
    <t>AVAILABLE_FOR_SALE</t>
  </si>
  <si>
    <t xml:space="preserve">Enter  Y if a TAG SKU is required.   </t>
  </si>
  <si>
    <t>Up to 100 characters. This is the title that will display in the warranty pop-up on the website.</t>
  </si>
  <si>
    <t>AA (HR6/1.2H2)</t>
  </si>
  <si>
    <t>GenMAppliance_GAM</t>
  </si>
  <si>
    <t>Pesticides, liquid, toxic, n.o.s.</t>
  </si>
  <si>
    <t>SERV_STKUNIT_UNDRMNF_WRNTY</t>
  </si>
  <si>
    <t>PRODUCT_WRNTY_DAYS</t>
  </si>
  <si>
    <t>LS Appliances_IAL</t>
  </si>
  <si>
    <t>LTL Room of Choice_4</t>
  </si>
  <si>
    <t>HYDROCARBON GAS MIXTURE - LIQUEFIED, N.O.S</t>
  </si>
  <si>
    <t>Musicals BLU-RAY</t>
  </si>
  <si>
    <t>AAAA (LR8D425 )</t>
  </si>
  <si>
    <t>1 - HAZMAT UN# (4 Digits)</t>
  </si>
  <si>
    <t>9V (6F22/1604D)</t>
  </si>
  <si>
    <t>2 - Cells in Lithium (single or multiple)</t>
  </si>
  <si>
    <t>Lantern (6V) (4R25/908D)</t>
  </si>
  <si>
    <t>COMPRESSED GAS, TOXIC, FLAMMABLE, N.O.S.</t>
  </si>
  <si>
    <t>PSP_S</t>
  </si>
  <si>
    <t>SUPPLIER7 (ADDITIONAL)</t>
  </si>
  <si>
    <t>RETURN_POLICY_DAYS</t>
  </si>
  <si>
    <t>United States_28</t>
  </si>
  <si>
    <t>SUPPORT MANUFACTURER WARRANTY</t>
  </si>
  <si>
    <t>FREIGHT TERM</t>
  </si>
  <si>
    <t>RA_ALL_ACCESS_REQ_FOR_RTV</t>
  </si>
  <si>
    <t>S_UNIT_WIDTH</t>
  </si>
  <si>
    <t>QUEBEC_QC</t>
  </si>
  <si>
    <t>p5.PKG.5.0.KG.*.B</t>
  </si>
  <si>
    <t>p29.PKG.29.0.KG.*.B</t>
  </si>
  <si>
    <t>VENDOR</t>
  </si>
  <si>
    <t>Supp5_Inner_Pack_Size</t>
  </si>
  <si>
    <t>CR927</t>
  </si>
  <si>
    <t xml:space="preserve">1 to 2 = Batteries IN QTY
3 to 4 = Batteries Out QTY
5 to 6 = Number of Cells
7 to 8 = UOM (WH = Watt Hours / KG = Kilogram)
9 to 13 = Value for Watt Hours or Lithium Content (gm)
14 to 18 = HAZMAT UN NUMBER
</t>
  </si>
  <si>
    <t>2 - UN# (4 digits) -&gt; use double click to open the UN# helper</t>
  </si>
  <si>
    <t>BBY STORES EXC WEB_4268</t>
  </si>
  <si>
    <t>MASTER CARTON WEIGHT</t>
  </si>
  <si>
    <t>Supp6_Supp_Pack_Size</t>
  </si>
  <si>
    <t>SDS LIMITED QUANTITIES 5</t>
  </si>
  <si>
    <t>CLASSICAL FRENCH</t>
  </si>
  <si>
    <t>Show</t>
  </si>
  <si>
    <t>CD Single_EP</t>
  </si>
  <si>
    <t>AAA (R03/24D)</t>
  </si>
  <si>
    <t>SERVICE STOCK UNIT UNDER MNF WRNT</t>
  </si>
  <si>
    <t xml:space="preserve">HEPTAFLUOROPROPANE - REFRIGERANT GAS R 227 </t>
  </si>
  <si>
    <t>There are 5 fields (groups) requiring input in the Product Compliance tab</t>
  </si>
  <si>
    <t>IGNORE3.9</t>
  </si>
  <si>
    <t>Standard SIM_SIMS</t>
  </si>
  <si>
    <t>DELIVERY SERVICE LEVEL</t>
  </si>
  <si>
    <t>Specialty DVD</t>
  </si>
  <si>
    <t>VENDOR ACKNOLWLEDGEMENT SECTION</t>
  </si>
  <si>
    <t>182 DAYS_180</t>
  </si>
  <si>
    <t>SDS LIMITED QUANTITIES 4</t>
  </si>
  <si>
    <t>Unit Cost for additional supplier 5</t>
  </si>
  <si>
    <t>SKU 7</t>
  </si>
  <si>
    <t>IGNORE 3.17</t>
  </si>
  <si>
    <t>BBYC Merchant/Requestor</t>
  </si>
  <si>
    <t>APPLICABLE FOR COVERAGE DURING MFG WRNT</t>
  </si>
  <si>
    <t>Set up Done</t>
  </si>
  <si>
    <t>Jakarta, ID_7</t>
  </si>
  <si>
    <t>SKU 2</t>
  </si>
  <si>
    <t>p1.PKG.1.0.KG.*.B</t>
  </si>
  <si>
    <t>CSP_TERM</t>
  </si>
  <si>
    <t>Platform for software/hardware product to be set-up.  Select values from the list, leave it blank if not applicable</t>
  </si>
  <si>
    <t>Blu-Ray_BD</t>
  </si>
  <si>
    <t>THIOCARBAMATE PESTICIDE, LIQUID, FLAMMABLE, TOXIC</t>
  </si>
  <si>
    <t xml:space="preserve">sup_attributes </t>
  </si>
  <si>
    <t>Steel Packaging (in KG)</t>
  </si>
  <si>
    <t>Process at Media DC</t>
  </si>
  <si>
    <t>Resell</t>
  </si>
  <si>
    <t>SKU 34</t>
  </si>
  <si>
    <t>BATTERIES</t>
  </si>
  <si>
    <t>The sheet is limited to 50 SKU set-up only.  Please use another sheet if set-up requires more than 50 records.</t>
  </si>
  <si>
    <t>p7.PKG.7.0.KG.*.B</t>
  </si>
  <si>
    <t>INNER PACK QTY FOR ADDITIONAL SUPPLIER(8)</t>
  </si>
  <si>
    <t xml:space="preserve">For all set-up types, when Merchant view is selected, a message will show reminding to provide BBYC requestor deatils in Row #5.  The fields are color formatted to easily spot if details are provided or missing.  </t>
  </si>
  <si>
    <t>MSID3.IGNORE</t>
  </si>
  <si>
    <t>Run Disposition</t>
  </si>
  <si>
    <t>3D Blu-ray_3DBR</t>
  </si>
  <si>
    <t>SUBCLASS</t>
  </si>
  <si>
    <t>Mercury Department Row</t>
  </si>
  <si>
    <t>HEXAFLUOROETHANE - REFRIGERANT GAS R 116</t>
  </si>
  <si>
    <t>Jiangmen,CN_37</t>
  </si>
  <si>
    <t>Row</t>
  </si>
  <si>
    <t>Case</t>
  </si>
  <si>
    <t>CR2032 (5004LC)</t>
  </si>
  <si>
    <t>Home Theatre Installation_HTINST</t>
  </si>
  <si>
    <t>Micro SIM_SIMM</t>
  </si>
  <si>
    <t>SO Other_9</t>
  </si>
  <si>
    <t>Dyes, liquid, corrosive, n.o.s. or Dye intermediates, liquid, corrosive, n.o.s.</t>
  </si>
  <si>
    <t>RAPID EXCHANGEABLE</t>
  </si>
  <si>
    <t>Shekou, CN_22</t>
  </si>
  <si>
    <t>MADACY MUSIC CUBE</t>
  </si>
  <si>
    <t>PRE_BOOKED_IND</t>
  </si>
  <si>
    <t>BRAND NAME</t>
  </si>
  <si>
    <t>=COUNTA(Master_Table!C:C)-1</t>
  </si>
  <si>
    <t>DEP_7</t>
  </si>
  <si>
    <t>SR55 (LR1121/1160SO)</t>
  </si>
  <si>
    <t>Stop Case Change</t>
  </si>
  <si>
    <t>DEVICES, SMALL, HYDROCARBON GAS POWERED with release device; </t>
  </si>
  <si>
    <t>m6.MERC.6.X.MG.*.B</t>
  </si>
  <si>
    <t>EXTRACTS, FLAVOURING, LIQUID</t>
  </si>
  <si>
    <t>Mini SIM_SIMI</t>
  </si>
  <si>
    <t>Collector Sets BLU-RAY</t>
  </si>
  <si>
    <t>APPLICABLE FOR ACCIDENTAL DAMAGE</t>
  </si>
  <si>
    <t>4_MSPOSA</t>
  </si>
  <si>
    <t>IGNORE 3.14</t>
  </si>
  <si>
    <t xml:space="preserve">Setup_Sheet  1st Case Q Row </t>
  </si>
  <si>
    <t>Unit Cost for additional supplier 6</t>
  </si>
  <si>
    <t>IGNORE 3.19</t>
  </si>
  <si>
    <t>L2.LIMQ.2.0.B.B.*</t>
  </si>
  <si>
    <t>SHIP_QUEBEC</t>
  </si>
  <si>
    <t xml:space="preserve">Values:  Y/N.  If Yes, product is serviceable by BBYC when it is not covered under manufacturer warranty </t>
  </si>
  <si>
    <t>SHIP_CARTON_WT</t>
  </si>
  <si>
    <t>1 - UN# (4 digits) -&gt; use double click to open the UN# helper</t>
  </si>
  <si>
    <t>SKU 10</t>
  </si>
  <si>
    <t>TS1.TS.1.0.B.B.*</t>
  </si>
  <si>
    <t>Product Type</t>
  </si>
  <si>
    <t>Anime BLU-RAY</t>
  </si>
  <si>
    <t>Exclusive To</t>
  </si>
  <si>
    <t>PRESELL_AMT</t>
  </si>
  <si>
    <t>IGNORE10.3</t>
  </si>
  <si>
    <t>BLU-RAY 3D_3D</t>
  </si>
  <si>
    <t>Lithium Carbon Flouride (Li-CFx)</t>
  </si>
  <si>
    <t>Delivery Fee_DLYFEE</t>
  </si>
  <si>
    <t>MERCURY</t>
  </si>
  <si>
    <t>SUPPLIER3</t>
  </si>
  <si>
    <t>BR2032</t>
  </si>
  <si>
    <t>BRITISH COLUMBIA_BC</t>
  </si>
  <si>
    <t>Disney_14</t>
  </si>
  <si>
    <t>SUPPLIER3 (ADDITIONAL)</t>
  </si>
  <si>
    <t>INNER PACK QTY FOR ADDITIONAL SUPPLIER(9)</t>
  </si>
  <si>
    <t>OB_RETURNABLE</t>
  </si>
  <si>
    <t>TRADE IN &amp; USED GAMES REQUIRED</t>
  </si>
  <si>
    <t>Phase 4_10</t>
  </si>
  <si>
    <t>IGNORE4</t>
  </si>
  <si>
    <t>Defaulted to Shared</t>
  </si>
  <si>
    <t>Specifies the warranty type or coverage  that corresponds to  product warranty days (Parts Only, Labou Only, Parts and Labour)</t>
  </si>
  <si>
    <t>IGNORE10.5</t>
  </si>
  <si>
    <t>Weight - for single sellable unit with box, used for Warehouse space planning</t>
  </si>
  <si>
    <t>Super Audio_SA</t>
  </si>
  <si>
    <t>MODEL NO.</t>
  </si>
  <si>
    <t>Bipyridilium pesticides, liquid, flammable, toxic, flashpoint less than 23 °C</t>
  </si>
  <si>
    <t>m4.MERC.4.*.MG.X.B</t>
  </si>
  <si>
    <t>Column Name</t>
  </si>
  <si>
    <t>SR44 (LR1154/1166A)</t>
  </si>
  <si>
    <t>2_NINTENDO_11</t>
  </si>
  <si>
    <t>TS2.TS.2.0.B.B.*</t>
  </si>
  <si>
    <t>CR3032</t>
  </si>
  <si>
    <t>AAAA</t>
  </si>
  <si>
    <t>Returnable</t>
  </si>
  <si>
    <t>adminsetup</t>
  </si>
  <si>
    <t>Music BLU-RAY</t>
  </si>
  <si>
    <t>PVT_LBL_SOURCE</t>
  </si>
  <si>
    <t>Lantern (Big) 8R25</t>
  </si>
  <si>
    <t>Horror BLU-RAY</t>
  </si>
  <si>
    <t>IN_STOCK_DATE</t>
  </si>
  <si>
    <t>Extra Info for Battery 2</t>
  </si>
  <si>
    <t>MT416F</t>
  </si>
  <si>
    <t>HBO_17</t>
  </si>
  <si>
    <r>
      <rPr>
        <b/>
        <sz val="10"/>
        <color rgb="FF000000"/>
        <rFont val="Calibri"/>
        <family val="2"/>
        <scheme val="minor"/>
      </rPr>
      <t>BBYC</t>
    </r>
    <r>
      <rPr>
        <sz val="10"/>
        <color rgb="FF000000"/>
        <rFont val="Calibri"/>
        <family val="2"/>
        <scheme val="minor"/>
      </rPr>
      <t xml:space="preserve"> requires all new products that contain dangerous goods content to provide additional information as required under the Transportation of Dangerous Goods Act, and to keep our employees and partners safe while handling these products. 
New dangerous goods products may qualify to be shipped/handled in “limited quantities” based on a specified maximum limit of dangerous goods content per individual unit. 
This maximum limit is determined by the UN number classification of the dangerous goods in question.
This form allows for up to 4 entries of new products. Please provide the following:
• Accompanying UN number for your product(s)
• If your product is a liquid or aerosol: provide the volume of an individual container in Liters (L)
• If your product is a solid: please provide the weight of an individual unit in Kilograms (kg)
If necessary, a UN number helper tool is available for your convenience. Double click one of the UN number input cells to activate the UN number helper tool.
Please provide the unique SDS Reference ID for each product you have entered into the sheet.
Please also provide the Vendor Acknowledgement for each product that is a dangerous good.</t>
    </r>
  </si>
  <si>
    <t>BATC</t>
  </si>
  <si>
    <t>LS Television_ITL</t>
  </si>
  <si>
    <t>MSLQ3.MSDS.27.0.B.B.*</t>
  </si>
  <si>
    <t>DESC</t>
  </si>
  <si>
    <t>CASE PACK QTY FOR ADDITIONAL SUPPLIER(8)</t>
  </si>
  <si>
    <t>VBA Password</t>
  </si>
  <si>
    <t>ALL ACCESSORIES REQUIRED FOR RTV</t>
  </si>
  <si>
    <t>Lantern- Big (4LR25-24 )</t>
  </si>
  <si>
    <t>C (LR14)</t>
  </si>
  <si>
    <t>Inventory</t>
  </si>
  <si>
    <t xml:space="preserve">Upto 20 characters including spaces.  Do not put special character on the description.  Suggested Format: Brand Name, Model No., Product Description.  </t>
  </si>
  <si>
    <t>=Cases!I3</t>
  </si>
  <si>
    <t>7 YEARS_2555</t>
  </si>
  <si>
    <t>FIRELIGHTERS, SOLID WITH FLAMMABLE LIQUID</t>
  </si>
  <si>
    <t>COREMARK CONFECTIONARY_COCON</t>
  </si>
  <si>
    <t>Supp2_Inner_Pack_Size</t>
  </si>
  <si>
    <t>freight_terms</t>
  </si>
  <si>
    <t>CR1632</t>
  </si>
  <si>
    <t>If there is warranty on specific parts that are not covered in the regular warranty.  Leave this blank if not applicable</t>
  </si>
  <si>
    <t>MemMonthy_GSM</t>
  </si>
  <si>
    <t>UNIT COST FOR ADDITIONAL SUPPLIER(5)</t>
  </si>
  <si>
    <t>p17.PKG.17.0.KG.*.B</t>
  </si>
  <si>
    <t>POS Activation (physical card)_POSA</t>
  </si>
  <si>
    <t>Tech Check Level</t>
  </si>
  <si>
    <t>SP1</t>
  </si>
  <si>
    <t>SERVICE_OUTSIDE_MNF_WRNTY</t>
  </si>
  <si>
    <t>Busan, KR_2</t>
  </si>
  <si>
    <t>Tablet AD_TAD</t>
  </si>
  <si>
    <t>LS Tablets Carry-in_INT</t>
  </si>
  <si>
    <t>Supp3_Inner_Pack_Size</t>
  </si>
  <si>
    <t>Lantern (screw) 4R25</t>
  </si>
  <si>
    <t>1 - # of Batteries out of Product (outside)</t>
  </si>
  <si>
    <t>OUT_OF_STOCK_DATE</t>
  </si>
  <si>
    <t>Configuration Code</t>
  </si>
  <si>
    <t>PLA, PHA, PHB  Plastic Film</t>
  </si>
  <si>
    <t>NEON, REFRIDGERATED LIQUID</t>
  </si>
  <si>
    <t>PACKING GROUP</t>
  </si>
  <si>
    <t>GSP AD Plus Tablets_PPT</t>
  </si>
  <si>
    <t>MSID2.IGNORE</t>
  </si>
  <si>
    <t>b1.X.X.X.KG.*.B</t>
  </si>
  <si>
    <t>GenMCamera_GCM</t>
  </si>
  <si>
    <t>Accessories_AC</t>
  </si>
  <si>
    <t>3 - # of Batteries in Product (inside)</t>
  </si>
  <si>
    <t>PORT OF ORIGIN</t>
  </si>
  <si>
    <t>BUNDLE</t>
  </si>
  <si>
    <t>Everyone_E</t>
  </si>
  <si>
    <t>Sci-Fi DVD</t>
  </si>
  <si>
    <t>CARBAMATE PESTICIDE, LIQUID, FLAMMABLE, TOXIC</t>
  </si>
  <si>
    <t>Width is measured from Left to Right.   For single sellable unit with box, used for Warehouse space planning</t>
  </si>
  <si>
    <t>MIN_ORDER_QTY</t>
  </si>
  <si>
    <t>MSLQ7.MSDS.31.0.B.B.*</t>
  </si>
  <si>
    <t>PRE-ORDER END DATE</t>
  </si>
  <si>
    <t>If considered as Consignment product, select/enter Y_1, else leave it blank</t>
  </si>
  <si>
    <t>SUPPLIER8 (ADDITIONAL)</t>
  </si>
  <si>
    <t>ATTRIBUTE</t>
  </si>
  <si>
    <t xml:space="preserve">Specifies the number of days since purchase that the product is covered by manufacturer's warranty.  Ex:  365 Days </t>
  </si>
  <si>
    <t>DVD AUDIO</t>
  </si>
  <si>
    <t>DIRECT SOURCE</t>
  </si>
  <si>
    <t>CASE PACK QTY FOR ADDITIONAL SUPPLIER(5)</t>
  </si>
  <si>
    <t>Service Type</t>
  </si>
  <si>
    <t>SR64 (SR527)</t>
  </si>
  <si>
    <t>SKU 36</t>
  </si>
  <si>
    <t>SDS LIMITED QUANTITIES 7</t>
  </si>
  <si>
    <t>Nano SIM_SIMN</t>
  </si>
  <si>
    <t>eOne_13</t>
  </si>
  <si>
    <t>DELIVERY_UPCHARGE</t>
  </si>
  <si>
    <t>TAG_TYPE</t>
  </si>
  <si>
    <t>REFRIGERANT GAS R 404A</t>
  </si>
  <si>
    <t>Freight Term</t>
  </si>
  <si>
    <t>BATI</t>
  </si>
  <si>
    <t>2CR5 (2CR5/5032LC)</t>
  </si>
  <si>
    <t>Online Support ST_19</t>
  </si>
  <si>
    <t>MAX_ORDER_QTY</t>
  </si>
  <si>
    <t>Classic Animated DVD</t>
  </si>
  <si>
    <t>Set-up Type = Import</t>
  </si>
  <si>
    <t>4 - # of Batteries in Product (inside)</t>
  </si>
  <si>
    <t>b2.X.X.*.KG.B.B</t>
  </si>
  <si>
    <t>GenLOther_GOL</t>
  </si>
  <si>
    <t>DELIVERY_SERVICE_LEVEL</t>
  </si>
  <si>
    <t>CASE PACK QTY FOR ADDITIONAL SUPPLIER(6)</t>
  </si>
  <si>
    <t>BBC_16</t>
  </si>
  <si>
    <t>LTL Threshold_3</t>
  </si>
  <si>
    <t>Form Name</t>
  </si>
  <si>
    <t>Unidisc_6</t>
  </si>
  <si>
    <t>Must Recycle</t>
  </si>
  <si>
    <t>Lithium Coin/Button</t>
  </si>
  <si>
    <t>Other Departments</t>
  </si>
  <si>
    <t>SR65 (SR527)</t>
  </si>
  <si>
    <t>Inner Pack Qty for additional supplier 2</t>
  </si>
  <si>
    <t>BHG Threshold_1</t>
  </si>
  <si>
    <t>BR3032</t>
  </si>
  <si>
    <r>
      <rPr>
        <b/>
        <sz val="10"/>
        <color rgb="FF000000"/>
        <rFont val="Calibri"/>
        <family val="2"/>
        <scheme val="minor"/>
      </rPr>
      <t>For CCFL Bulbs</t>
    </r>
    <r>
      <rPr>
        <sz val="10"/>
        <color rgb="FF000000"/>
        <rFont val="Calibri"/>
        <family val="2"/>
        <scheme val="minor"/>
      </rPr>
      <t xml:space="preserve">
Enter the number of CCFL bulbs &amp; Mercury (Hg) content in milligram (MG)
The form allows upto 3 entries/values for product with multiple bulbs with varying amounts of Hg
Min - Max Qty: 0 - 100
Min - Max Weight: 0.0001 - 10000</t>
    </r>
  </si>
  <si>
    <t>Guidelines for Completing BBYC SKU Setup Form</t>
  </si>
  <si>
    <t>D (HR20)</t>
  </si>
  <si>
    <t>IMPART_INFO_SHOPPER</t>
  </si>
  <si>
    <t>CHLOROTRIFLUOROMETHANE - REFRIDGERANT GAS R 13</t>
  </si>
  <si>
    <t>SERIAL_REQUIRED</t>
  </si>
  <si>
    <t>CASE PACK QTY FOR ADDITIONAL SUPPLIER(4)</t>
  </si>
  <si>
    <t>MUST RECYCLE</t>
  </si>
  <si>
    <t>SUPPLIER9 (ADDITIONAL)</t>
  </si>
  <si>
    <t>DELETE_FLAG</t>
  </si>
  <si>
    <t>COPPER BASED PESTICIDE, LIQUID, FLAMMABLE, TOXIC</t>
  </si>
  <si>
    <t>Television HBO DVD</t>
  </si>
  <si>
    <t>9 V (6LR61)</t>
  </si>
  <si>
    <t>SHIPPABLE TO QUEBEC</t>
  </si>
  <si>
    <t>CR2430 (5011LC)</t>
  </si>
  <si>
    <t>IGNORE 3.15</t>
  </si>
  <si>
    <t>OTHER</t>
  </si>
  <si>
    <t>10 YEARS_3650</t>
  </si>
  <si>
    <t>Best Buy_B</t>
  </si>
  <si>
    <t>Blu-ray_BR</t>
  </si>
  <si>
    <t>MANUFACTURER</t>
  </si>
  <si>
    <t>UPC (ADDITIONAL)</t>
  </si>
  <si>
    <t>RA_ALWAYS_RTV</t>
  </si>
  <si>
    <t>MSIDLQ7.IGNORE</t>
  </si>
  <si>
    <t>IMPORT_IND</t>
  </si>
  <si>
    <t>AAA (LR03)</t>
  </si>
  <si>
    <t>MSIDLQ3.IGNORE</t>
  </si>
  <si>
    <t>SASKATCHEWAN_SK</t>
  </si>
  <si>
    <t>Box Board</t>
  </si>
  <si>
    <t>INNER PACK QTY FOR ADDITIONAL SUPPLIER(2)</t>
  </si>
  <si>
    <t>ALCOHOLS, FLAMMABLE, TOXIC, NOS</t>
  </si>
  <si>
    <t>ENT_RELATIVE_SIZE</t>
  </si>
  <si>
    <t>p35.PKG.35.0.KG.*.B</t>
  </si>
  <si>
    <t>Name of Studio. Leave this blank if not available/ applicable</t>
  </si>
  <si>
    <t>180 DAYS_180</t>
  </si>
  <si>
    <t>CONFIGURATION CODE</t>
  </si>
  <si>
    <t>SKU 43</t>
  </si>
  <si>
    <t>RECOMMEND_RETAIL</t>
  </si>
  <si>
    <t>DVD Membership_DM</t>
  </si>
  <si>
    <r>
      <rPr>
        <b/>
        <sz val="8"/>
        <color rgb="FF000000"/>
        <rFont val="Calibri"/>
        <family val="2"/>
        <scheme val="minor"/>
      </rPr>
      <t>Values:</t>
    </r>
    <r>
      <rPr>
        <sz val="8"/>
        <color rgb="FF000000"/>
        <rFont val="Calibri"/>
        <family val="2"/>
        <scheme val="minor"/>
      </rPr>
      <t xml:space="preserve"> Y/N.  Specifies if product can be delivered from warehouse to customer.  Defaulted to </t>
    </r>
    <r>
      <rPr>
        <b/>
        <sz val="8"/>
        <color rgb="FF000000"/>
        <rFont val="Calibri"/>
        <family val="2"/>
        <scheme val="minor"/>
      </rPr>
      <t xml:space="preserve">N </t>
    </r>
    <r>
      <rPr>
        <sz val="8"/>
        <color rgb="FF000000"/>
        <rFont val="Calibri"/>
        <family val="2"/>
        <scheme val="minor"/>
      </rPr>
      <t xml:space="preserve">but should be changed to Y for </t>
    </r>
    <r>
      <rPr>
        <b/>
        <sz val="8"/>
        <color rgb="FF000000"/>
        <rFont val="Calibri"/>
        <family val="2"/>
        <scheme val="minor"/>
      </rPr>
      <t>White Goods</t>
    </r>
    <r>
      <rPr>
        <sz val="8"/>
        <color rgb="FF000000"/>
        <rFont val="Calibri"/>
        <family val="2"/>
        <scheme val="minor"/>
      </rPr>
      <t xml:space="preserve"> set-up</t>
    </r>
  </si>
  <si>
    <t>BAT9</t>
  </si>
  <si>
    <t>Height is measured from Top to Bottom. For single sellable unit without box/actual physical product, used for Store shelf space planning. List measurements as product would exist stored on shelf (example: cords measured coiled up NOT expanded to max length).</t>
  </si>
  <si>
    <t>Inner Pack Qty for additional supplier 5</t>
  </si>
  <si>
    <t>p31.PKG.31.0.KG.*.B</t>
  </si>
  <si>
    <t>OCTAFLUOROCYCLOBUTANE - REFRIGERANT GAS RC 318</t>
  </si>
  <si>
    <t>SOFTWARE RATING</t>
  </si>
  <si>
    <t>GROSS MARGIN</t>
  </si>
  <si>
    <t>Zinc Carbon</t>
  </si>
  <si>
    <t>2 YEARS_730</t>
  </si>
  <si>
    <t>PRE-ORDER AMOUNT</t>
  </si>
  <si>
    <t>Reward Zone Enrollment Cards_RZENR</t>
  </si>
  <si>
    <t>BAT6</t>
  </si>
  <si>
    <r>
      <rPr>
        <b/>
        <sz val="8"/>
        <color rgb="FF000000"/>
        <rFont val="Calibri"/>
        <family val="2"/>
        <scheme val="minor"/>
      </rPr>
      <t xml:space="preserve">Values: </t>
    </r>
    <r>
      <rPr>
        <sz val="8"/>
        <color rgb="FF000000"/>
        <rFont val="Calibri"/>
        <family val="2"/>
        <scheme val="minor"/>
      </rPr>
      <t xml:space="preserve"> Y/N.  Defaulted to </t>
    </r>
    <r>
      <rPr>
        <b/>
        <sz val="8"/>
        <color rgb="FF000000"/>
        <rFont val="Calibri"/>
        <family val="2"/>
        <scheme val="minor"/>
      </rPr>
      <t>N</t>
    </r>
    <r>
      <rPr>
        <sz val="8"/>
        <color rgb="FF000000"/>
        <rFont val="Calibri"/>
        <family val="2"/>
        <scheme val="minor"/>
      </rPr>
      <t xml:space="preserve">.  If change to </t>
    </r>
    <r>
      <rPr>
        <b/>
        <sz val="8"/>
        <color rgb="FF000000"/>
        <rFont val="Calibri"/>
        <family val="2"/>
        <scheme val="minor"/>
      </rPr>
      <t>Y</t>
    </r>
    <r>
      <rPr>
        <sz val="8"/>
        <color rgb="FF000000"/>
        <rFont val="Calibri"/>
        <family val="2"/>
        <scheme val="minor"/>
      </rPr>
      <t>, will prompt POS to capture the customer's information</t>
    </r>
  </si>
  <si>
    <t>GC/PROMO SKU END DATE</t>
  </si>
  <si>
    <t>POP/ROCK SINGLES</t>
  </si>
  <si>
    <t>UNIT COST FOR ADDITIONAL SUPPLIER(1)</t>
  </si>
  <si>
    <t>#</t>
  </si>
  <si>
    <t>Courier_CR</t>
  </si>
  <si>
    <t>UPC1</t>
  </si>
  <si>
    <t>Extra Info for Battery 3</t>
  </si>
  <si>
    <t>MINIMUM ORDER QUANTITY</t>
  </si>
  <si>
    <t>FIRE EXTINGUISHER CHARGES, CORROSIVE LIQUID</t>
  </si>
  <si>
    <t>Mthly and LS AD Renewal_PPB</t>
  </si>
  <si>
    <t>- Battery</t>
  </si>
  <si>
    <t>CR1616 </t>
  </si>
  <si>
    <t>Classics BLU-RAY</t>
  </si>
  <si>
    <t>p18.PKG.18.0.KG.*.B</t>
  </si>
  <si>
    <t>b1.X.X.X.KG.B.*</t>
  </si>
  <si>
    <t>FLAMMABLE</t>
  </si>
  <si>
    <t>ENT_ARTIST_ID</t>
  </si>
  <si>
    <t>CARBON DIOXIDE, REFRIDGERATED LIQUID</t>
  </si>
  <si>
    <t>ssf</t>
  </si>
  <si>
    <t>FileName 6 (BBYC INTERNAL USE ONLY)</t>
  </si>
  <si>
    <t>C1.CERT.7.0.B.B.*</t>
  </si>
  <si>
    <t>Television Monthly_FVM</t>
  </si>
  <si>
    <t>CR1216</t>
  </si>
  <si>
    <t>PRIVACY INSTRUCTION CODE</t>
  </si>
  <si>
    <t>1,1 DIFLUOROETHANE - REFRIDGERANT GAS R 152A</t>
  </si>
  <si>
    <t>Specialty BLU-RAY</t>
  </si>
  <si>
    <t>It is necessary to enable macros in order to use this file.</t>
  </si>
  <si>
    <t>NEW AGE</t>
  </si>
  <si>
    <t>b3.X.X.*.KG.B.B</t>
  </si>
  <si>
    <t>REFRIGERANT GAS R 407C</t>
  </si>
  <si>
    <t>Sku Type</t>
  </si>
  <si>
    <t>Supp8_Inner_Pack_Size</t>
  </si>
  <si>
    <t>RA_PROCESS_AT_MEDIA_DC</t>
  </si>
  <si>
    <t>D (KR20)</t>
  </si>
  <si>
    <t>10 (yellow tab/PR70/7005ZD)</t>
  </si>
  <si>
    <t>ES_LABEL_NAME</t>
  </si>
  <si>
    <t>Laptop Monthly_FLM</t>
  </si>
  <si>
    <t>VHS</t>
  </si>
  <si>
    <t>Vendor/Supplier Contact Name</t>
  </si>
  <si>
    <t>ENERGY STAR</t>
  </si>
  <si>
    <t>Y</t>
  </si>
  <si>
    <t>Regular</t>
  </si>
  <si>
    <t>Vendors having multiple shipping/replenishment requirements, please ensure to provide unit cost on additional fields/rows provided on the form</t>
  </si>
  <si>
    <t>LOADING CAPACITY PER CONTAINER (45 HQ)</t>
  </si>
  <si>
    <t>20 YEARS_7300</t>
  </si>
  <si>
    <t>LOADING CAPACITY PER CONTAINER (40 GP)</t>
  </si>
  <si>
    <t>All Accessories Required for RTV</t>
  </si>
  <si>
    <t>AA (14430)</t>
  </si>
  <si>
    <t>Supp3_Supp_Pack_Size</t>
  </si>
  <si>
    <t>b2.X.*.X.KG.B.B</t>
  </si>
  <si>
    <t>GenMTablet_GTM</t>
  </si>
  <si>
    <t>INNER PACK QTY FOR ADDITIONAL SUPPLIER(4)</t>
  </si>
  <si>
    <t>Best Buy Canada Department</t>
  </si>
  <si>
    <t>MSIDLQ2.IGNORE</t>
  </si>
  <si>
    <t>SKU 47</t>
  </si>
  <si>
    <t>AA (FR6/15LF)</t>
  </si>
  <si>
    <t>Liquified gases, nonflammable charged with nitrogen, carbon dioxide, or air</t>
  </si>
  <si>
    <t>CAPS</t>
  </si>
  <si>
    <t>Specify the number of days since customer's purchase date that non-defective product (open box) can be returned to the vendor</t>
  </si>
  <si>
    <t>m5.MERC.5.X.MG.*.B</t>
  </si>
  <si>
    <t>p28.PKG.28.0.KG.*.B</t>
  </si>
  <si>
    <t>MSID4.IGNORE</t>
  </si>
  <si>
    <t>DIMENSION (CM): HEIGHT (NO BOX)</t>
  </si>
  <si>
    <t>If there is any restriction for returning the product to the vendor.  Leave this blank if not applicable</t>
  </si>
  <si>
    <t>SKU 27</t>
  </si>
  <si>
    <t>4 - *Qty (total no. of batteries for this type)</t>
  </si>
  <si>
    <t>FORECAST_IND</t>
  </si>
  <si>
    <t>SDS LIMITED QUANTITIES 1</t>
  </si>
  <si>
    <t>NEW FOUNDLAND_NL</t>
  </si>
  <si>
    <t>KARRYS CONFECTIONARY_KCON</t>
  </si>
  <si>
    <t>120 DAYS_120</t>
  </si>
  <si>
    <t>REGGAE</t>
  </si>
  <si>
    <t>EXCLUSIVE TO</t>
  </si>
  <si>
    <t>SERIAL_REQ_FOR_RTV</t>
  </si>
  <si>
    <t>RETURN TO VENDOR DEFECTIVE DAYS</t>
  </si>
  <si>
    <t>DISINFECTANT, LIQUID, CORROSIVE, NOS</t>
  </si>
  <si>
    <t>b2.*.X.X.KG.B.B</t>
  </si>
  <si>
    <t>Supplier9</t>
  </si>
  <si>
    <t>RTV_OB_DAYS</t>
  </si>
  <si>
    <t>SERIAL REQUIRED FOR RTV</t>
  </si>
  <si>
    <t>90 DAYS_90</t>
  </si>
  <si>
    <t xml:space="preserve">This attribute is required for  Point of Sale Activation  only.  Select accordingly from the list. If not applicable, leave it blank.  </t>
  </si>
  <si>
    <t>BRAND_TYPE</t>
  </si>
  <si>
    <t>Other Printed Material: Manuals, Warranties, etc</t>
  </si>
  <si>
    <t>Shared_S</t>
  </si>
  <si>
    <t>WORLD</t>
  </si>
  <si>
    <t>Other Steel Container</t>
  </si>
  <si>
    <t>COMEDY FRENCH</t>
  </si>
  <si>
    <t>Mongrel_1</t>
  </si>
  <si>
    <t>COMEDY</t>
  </si>
  <si>
    <t>Restricted - Movies_S</t>
  </si>
  <si>
    <t>Selection</t>
  </si>
  <si>
    <t>RESELL</t>
  </si>
  <si>
    <t>BUNDLE_IND</t>
  </si>
  <si>
    <t xml:space="preserve">If you are aware that product for set-up has new brand_name, please ensure to provide the logo to your BBYC contact </t>
  </si>
  <si>
    <t>Return Policy Days</t>
  </si>
  <si>
    <t>Customer Satisfaction Program_CSP</t>
  </si>
  <si>
    <t>SDS LIMITED QUANTITIES 2</t>
  </si>
  <si>
    <t>PSP_ACTIVE</t>
  </si>
  <si>
    <t>Sel</t>
  </si>
  <si>
    <t>SOUNDTRACK</t>
  </si>
  <si>
    <t>Early Childhood_C</t>
  </si>
  <si>
    <t>REFRIDGERANT</t>
  </si>
  <si>
    <t>p32.PKG.32.0.KG.*.B</t>
  </si>
  <si>
    <t>TECH CHECK LEVEL</t>
  </si>
  <si>
    <t>m5.MERC.5.*.MG.X.B</t>
  </si>
  <si>
    <t>CHLOROPENTAFLUOROETHANE - REFRIDGERANT GAS R 115</t>
  </si>
  <si>
    <t>DELIVERABLE</t>
  </si>
  <si>
    <t>Flammable liquid, corrosive, n.o.s.</t>
  </si>
  <si>
    <t>CR2450 (5029LC)</t>
  </si>
  <si>
    <t>Corrugated Cardboard</t>
  </si>
  <si>
    <t>DEPARTMENT</t>
  </si>
  <si>
    <t>SKU 6</t>
  </si>
  <si>
    <t>DIACETONE ALCOHOL</t>
  </si>
  <si>
    <t>Number: 0 - 9 (Ex: 7 = 60"-69" Television)</t>
  </si>
  <si>
    <t>SUPPLIER4</t>
  </si>
  <si>
    <t>Phone Number</t>
  </si>
  <si>
    <t>1,1 DIFLUOROETHANE - REFRIDGERANT GAS R 1132A</t>
  </si>
  <si>
    <t>ORGANOCHLORINE PESTICIDE, LIQUID, FLAMMABLE, TOXIC</t>
  </si>
  <si>
    <t>SR67 (SR716)</t>
  </si>
  <si>
    <t>Supp1_Inner_Pack_Size</t>
  </si>
  <si>
    <t>NITROCELLULOSE SOLUTION</t>
  </si>
  <si>
    <t>Product Details</t>
  </si>
  <si>
    <t>SHIP QUEBEC (INTERNAL)</t>
  </si>
  <si>
    <t>5_NINTENDO_14</t>
  </si>
  <si>
    <t>Ho Chi Minh,VN_40</t>
  </si>
  <si>
    <t>Printed Magazines, Catalogs, Brochures, etc</t>
  </si>
  <si>
    <t>Horror DVD</t>
  </si>
  <si>
    <t>UNIT COST FOR ADDITIONAL SUPPLIER(9)</t>
  </si>
  <si>
    <t>C (KR14)</t>
  </si>
  <si>
    <t>Unit Cost for additional supplier 7</t>
  </si>
  <si>
    <t>MS4.MSDS.8.0.B.B.*</t>
  </si>
  <si>
    <t>CR2025 (5003LC)</t>
  </si>
  <si>
    <t>RMS Table Name</t>
  </si>
  <si>
    <t>Television BLU-RAY</t>
  </si>
  <si>
    <t>Software Platform</t>
  </si>
  <si>
    <t>SKU 38</t>
  </si>
  <si>
    <t>Wireless Plus Lump Sum_WPL</t>
  </si>
  <si>
    <t xml:space="preserve">TRIFLUOROMETHANE - REFRIGERANT GAS R 23 </t>
  </si>
  <si>
    <t>RETURN_RESTRICTIONS_FS</t>
  </si>
  <si>
    <t>SKU 19</t>
  </si>
  <si>
    <t>Plastic Packaging (in KG)</t>
  </si>
  <si>
    <t>In-Home_INH</t>
  </si>
  <si>
    <r>
      <rPr>
        <b/>
        <sz val="11"/>
        <color rgb="FFFFFFFF"/>
        <rFont val="Calibri"/>
        <family val="2"/>
        <scheme val="minor"/>
      </rPr>
      <t>PACKAGING SECTION</t>
    </r>
    <r>
      <rPr>
        <b/>
        <sz val="10"/>
        <color rgb="FFFFFFFF"/>
        <rFont val="Calibri"/>
        <family val="2"/>
        <scheme val="minor"/>
      </rPr>
      <t xml:space="preserve">
</t>
    </r>
  </si>
  <si>
    <t>Aluminum Aerosols</t>
  </si>
  <si>
    <t>Inner Pack Qty for additional supplier 4</t>
  </si>
  <si>
    <t>5 (AC5/PR63/7012ZD)</t>
  </si>
  <si>
    <t>p16.PKG.16.0.KG.*.B</t>
  </si>
  <si>
    <t>SKU_UPCHARGE</t>
  </si>
  <si>
    <t>AEROSOL</t>
  </si>
  <si>
    <t>Television Sci-Fi DVD</t>
  </si>
  <si>
    <t>CSP_LOWEST_PRICE</t>
  </si>
  <si>
    <t>p19.PKG.19.0.KG.*.B</t>
  </si>
  <si>
    <t>UDA Count</t>
  </si>
  <si>
    <t>MARITIMES</t>
  </si>
  <si>
    <t>XBOX_XBOX</t>
  </si>
  <si>
    <t>Photo Finishing (Spoke Store Skus)_PHOTOS</t>
  </si>
  <si>
    <t>CR2412</t>
  </si>
  <si>
    <t>SR62 (SR516)</t>
  </si>
  <si>
    <t>RAP</t>
  </si>
  <si>
    <t>Case Pack Qty for additional supplier 4</t>
  </si>
  <si>
    <t>Lead-Acid</t>
  </si>
  <si>
    <t>ALWAYS_RTV</t>
  </si>
  <si>
    <t xml:space="preserve">LIMITED QUANTITIES SECTION
</t>
  </si>
  <si>
    <t>USA_10</t>
  </si>
  <si>
    <t>PROVINCE</t>
  </si>
  <si>
    <t>XBOX One_XBOX1</t>
  </si>
  <si>
    <t xml:space="preserve">GAS </t>
  </si>
  <si>
    <t>COUNTRY</t>
  </si>
  <si>
    <t>CAPTURE CUSTOMER INFO</t>
  </si>
  <si>
    <t>SKU 22</t>
  </si>
  <si>
    <r>
      <rPr>
        <sz val="8"/>
        <color rgb="FF000000"/>
        <rFont val="Calibri"/>
        <family val="2"/>
        <scheme val="minor"/>
      </rPr>
      <t xml:space="preserve">For Music and Movie set-ups only.  </t>
    </r>
    <r>
      <rPr>
        <b/>
        <sz val="8"/>
        <color rgb="FF000000"/>
        <rFont val="Calibri"/>
        <family val="2"/>
        <scheme val="minor"/>
      </rPr>
      <t>Select values from the list</t>
    </r>
  </si>
  <si>
    <t>RELATED_SKU1</t>
  </si>
  <si>
    <t>MSID1.IGNORE</t>
  </si>
  <si>
    <t>Supp4_Inner_Pack_Size</t>
  </si>
  <si>
    <t>Gift Cards_GCARD</t>
  </si>
  <si>
    <t>SR63 (LR521)</t>
  </si>
  <si>
    <t>Format SS when user change</t>
  </si>
  <si>
    <t>CORROSIVE LIQUID, N.O.S</t>
  </si>
  <si>
    <t>VENDOR PROCESS TIME (DAYS)</t>
  </si>
  <si>
    <t>SUD Data Mapping to SKU attributes</t>
  </si>
  <si>
    <t xml:space="preserve">UNIT COST </t>
  </si>
  <si>
    <t>Length/Depth is measured from Front to Back.  For single sellable unit with box, used for Warehouse space planning</t>
  </si>
  <si>
    <t>SR45 (SR936)</t>
  </si>
  <si>
    <t>Manzanillo, MX_11</t>
  </si>
  <si>
    <t>m3.MERC.3.X.MG.*.B</t>
  </si>
  <si>
    <t>Veracruz, MX_29</t>
  </si>
  <si>
    <t>p2.PKG.2.0.KG.*.B</t>
  </si>
  <si>
    <t>BBY_PERF_CODE</t>
  </si>
  <si>
    <t>AAA</t>
  </si>
  <si>
    <t>Indonesia_2</t>
  </si>
  <si>
    <t>p6.PKG.6.0.KG.*.B</t>
  </si>
  <si>
    <t>Music and Movie Vendors, please provide appropriate artist names.  If there are multiple artists or a band, please enter the name on LAST NAME field</t>
  </si>
  <si>
    <t>STAFF_PURCHASE_ALLOWED</t>
  </si>
  <si>
    <t>LR1130</t>
  </si>
  <si>
    <t>ASSESSMENT_REQUIRED</t>
  </si>
  <si>
    <t>QUEBECOIS</t>
  </si>
  <si>
    <t>FLAMMABLE LIQUID, TOXIC, NOS</t>
  </si>
  <si>
    <t>IGNORE3</t>
  </si>
  <si>
    <t>FIRST_NAME</t>
  </si>
  <si>
    <t>Toxic solid, organic, n.o.s.</t>
  </si>
  <si>
    <r>
      <rPr>
        <b/>
        <sz val="12"/>
        <color rgb="FFFF0000"/>
        <rFont val="Calibri"/>
        <family val="2"/>
        <scheme val="minor"/>
      </rPr>
      <t>NOTE</t>
    </r>
    <r>
      <rPr>
        <b/>
        <sz val="12"/>
        <color rgb="FF000000"/>
        <rFont val="Calibri"/>
        <family val="2"/>
        <scheme val="minor"/>
      </rPr>
      <t xml:space="preserve">:  It is the Vendor’s responsibility to ensure that all information is accurately completed. Best Buy Canada Ltd. accepts no responsibility and will seek indemnification from the Vendor for any damages or liability arising from incorrect or incomplete information.
Please follow these Guidelines for Check List below:
•         Please keep the Packaging box checked. Packaging is MANDATORY. 
•         Please check the Mercury box below if your product contains mercury in any way
•         Please check the Batteries box below if your product contains batteries of any kind
•         Please check the Limited Quantities box below if your product is a classified dangerous good OTHER than lithium batteries.
•         Please check the Other Certifications box below if your product is subject to other legal compliance requirements that are not covered by the check boxes below
</t>
    </r>
  </si>
  <si>
    <t>BR1220</t>
  </si>
  <si>
    <t>CR2335</t>
  </si>
  <si>
    <t>Nintendo Gamecube_GCN</t>
  </si>
  <si>
    <t>RA_OB_RETURNABLE</t>
  </si>
  <si>
    <t>IGNORE 3.22</t>
  </si>
  <si>
    <t>SKU 29</t>
  </si>
  <si>
    <t>2 - # of Batteries out of Product (outside)</t>
  </si>
  <si>
    <t>SUPP_SIZE</t>
  </si>
  <si>
    <t>m2.MERC.2.*.MG.X.B</t>
  </si>
  <si>
    <t>TRIAZINE PESTICIDE, LIQUID, FLAMMABLE, TOXIC</t>
  </si>
  <si>
    <t>RA_SERIAL_REQ_FOR_RTV</t>
  </si>
  <si>
    <t>GenLTablet_GTL</t>
  </si>
  <si>
    <t>PSP_PRP_TYPE</t>
  </si>
  <si>
    <t>VENDOR_PROCESSING_TIME</t>
  </si>
  <si>
    <t>=MATCH(Case,Master_Table!$1:$1,0)</t>
  </si>
  <si>
    <t>Singapore_7</t>
  </si>
  <si>
    <t>Penang, MY_18</t>
  </si>
  <si>
    <t>Indicate Y_1  if the sku is to be created as placeholder/ confidential sku</t>
  </si>
  <si>
    <t>Changzhou, CN_35</t>
  </si>
  <si>
    <t>Coupon_COUPON</t>
  </si>
  <si>
    <t>KARAOKE</t>
  </si>
  <si>
    <t>Lithium iron phosphate (LiFePO4)</t>
  </si>
  <si>
    <t>CR123A (CR17345)</t>
  </si>
  <si>
    <t>- Mercury 
- Certification</t>
  </si>
  <si>
    <t>ALERT_INFORMATION</t>
  </si>
  <si>
    <t>Lithium-manganese(LiMn204)</t>
  </si>
  <si>
    <t>GenMTelevision_GVM</t>
  </si>
  <si>
    <t>Colored Glass Container</t>
  </si>
  <si>
    <t>Country where the goods are manufactured</t>
  </si>
  <si>
    <t>TS BATTERIES ID4</t>
  </si>
  <si>
    <t>SR516 (SR516)</t>
  </si>
  <si>
    <t>Toxic liquid, corrosive, organic, n.o.s. or Toxic liquid, corrosive, organic, n.o.s. Inhalation Hazard, Packing Group I, Zone A or B</t>
  </si>
  <si>
    <t>If SKU will ship LTL, select account from the drop-down. Leave this blank if not applicable.</t>
  </si>
  <si>
    <t>REFURBISHED</t>
  </si>
  <si>
    <t>Aluminum Packaging (in KG)</t>
  </si>
  <si>
    <t>b1.IGNORE</t>
  </si>
  <si>
    <t>TSID4.IGNORE</t>
  </si>
  <si>
    <t>b2.X.X.X.KG.B.*</t>
  </si>
  <si>
    <t>PB_START_DATE</t>
  </si>
  <si>
    <t>LR44 (357A)</t>
  </si>
  <si>
    <t>CARRY_IN_WARRANTY_DAYS</t>
  </si>
  <si>
    <t>Tablet MPSP_TAB</t>
  </si>
  <si>
    <t>AA (LR6)</t>
  </si>
  <si>
    <t>BUDGET</t>
  </si>
  <si>
    <t>Formula for Data E1</t>
  </si>
  <si>
    <t>RELATIVE SIZE</t>
  </si>
  <si>
    <t>CORROSIVE</t>
  </si>
  <si>
    <t>m2.MERC.2.X.MG.*.B</t>
  </si>
  <si>
    <t>Restocking Fee %</t>
  </si>
  <si>
    <t>Flammable solid, toxic, inorganic, n.o.s.</t>
  </si>
  <si>
    <t xml:space="preserve">DIFLUOROMETHANE - REFRIGERANT GAS R 32 </t>
  </si>
  <si>
    <t>Case Pack_C</t>
  </si>
  <si>
    <t>SUPPLIER2</t>
  </si>
  <si>
    <t>Rapid Exchangeable</t>
  </si>
  <si>
    <t>BATM</t>
  </si>
  <si>
    <t>1-CHLORO-1,2,2,2-TETRAFLUOROETHANE - REFRIDGERANT GAS R 124</t>
  </si>
  <si>
    <t>INNER_PACK_SIZE</t>
  </si>
  <si>
    <t>RELATED_SKU2</t>
  </si>
  <si>
    <t>GenMHybrid_GHM</t>
  </si>
  <si>
    <t>Children's DVD</t>
  </si>
  <si>
    <t>DICHLORODIFLUOROMETHANE AND DIFLUOROETHANE AZEOTROPIC MIXTURE - REFRIGERANT GAS R 500</t>
  </si>
  <si>
    <t>FLAMMABLE, TOXIC NOS</t>
  </si>
  <si>
    <t>Guaymas, MX_5</t>
  </si>
  <si>
    <t>SR41 (LR736/1135SO)</t>
  </si>
  <si>
    <t>Number: 0 - 9 (Ex: 1 - TV)</t>
  </si>
  <si>
    <t>S_UNIT_HEIGHT</t>
  </si>
  <si>
    <t>Malaysia_5</t>
  </si>
  <si>
    <t>Formula for SUD_DATA A2</t>
  </si>
  <si>
    <t>Indicates the percentage to charge the customer for a restocking fee.  For Canada, this value will be 0.</t>
  </si>
  <si>
    <t>RUN DISPOSITION</t>
  </si>
  <si>
    <t>BIN_NO</t>
  </si>
  <si>
    <t>4KUHD_4K</t>
  </si>
  <si>
    <t>No Instruction_0</t>
  </si>
  <si>
    <t>4 - UN# (4 digits) -&gt; use double click to open the UN# helper</t>
  </si>
  <si>
    <t>SERVICEABLE_EXTERNALLY</t>
  </si>
  <si>
    <t>Please ignore - Internal Use Only</t>
  </si>
  <si>
    <t>ISOCYANATE SOLUTION</t>
  </si>
  <si>
    <t>N</t>
  </si>
  <si>
    <t>The Battery Section allows upto 4 entries, refer to column C for detail descriptions, refer to column D for expected values.  
When Regular battery (ie Alkaline based) is selected, only Size/Format and Quantity are required to be provided
When Lithium  based battery is selected, additional information are required ie:
- Hazmat UN# (4 digits)
- no. of batterries inside the product
- no. of batterries outside of the product
- no. of cells
- no. of Lithium content (in grams)
- watt hours
- Individual Li Battery Net Weight (in kilograms)
- MSDS Reference ID
- Vendor Acknowledgement for each product with Lithium battery
Note:  ensure that "Dangerous Product/Material" field in Setup Sheet (#175), is flagged with Y.</t>
  </si>
  <si>
    <t>LIQUEFIED GASES, NON-FLAMMABLE, CHARGED WITH NITROGEN, CARBON DIOXIDE, OR AIR</t>
  </si>
  <si>
    <t>ISOPROPANOL OR ISOPROPYL ALCOHOL</t>
  </si>
  <si>
    <t>SERIAL NO. REQUIRED FOR RETURN</t>
  </si>
  <si>
    <t>LOC_TRAIT</t>
  </si>
  <si>
    <t>UNIT COST FOR ADDITIONAL SUPPLIER(6)</t>
  </si>
  <si>
    <t>GSP Plus Tablet_PTM</t>
  </si>
  <si>
    <t>SERIALIZED_FORMAT</t>
  </si>
  <si>
    <t>SUPPLIER1 (ADDITIONAL)</t>
  </si>
  <si>
    <t>Sports DVD</t>
  </si>
  <si>
    <t>TV Monthly Plan QC_TVQ</t>
  </si>
  <si>
    <t>M (38120P)</t>
  </si>
  <si>
    <t>RETURN POLICY DAYS</t>
  </si>
  <si>
    <t>=IF(ISERROR(OFFSET(Data!$E$1,VLOOKUP(A$1,SUD_MAP!$C:$D,2,0)-1,ROW(A2)-2)),"",IF(OFFSET(Data!$E$1,VLOOKUP(A$1,SUD_MAP!$C:$D,2,0)-1,ROW(A2)-2)="","",OFFSET(Data!$E$1,VLOOKUP(A$1,SUD_MAP!$C:$D,2,0)-1,ROW(A2)-2)))</t>
  </si>
  <si>
    <t>SKU_MARKET</t>
  </si>
  <si>
    <t>Entertainment_E</t>
  </si>
  <si>
    <t>UPC (PRIMARY)</t>
  </si>
  <si>
    <t>Serial No. Required for Return</t>
  </si>
  <si>
    <t>Other</t>
  </si>
  <si>
    <t>b4.X.X.X.KG.B.*</t>
  </si>
  <si>
    <t>For Music and Movie set-ups :  Number of discs in one set-up.  Ex: 1,2,3,4,5 upto 99 only
For Video Games : Indicate the use of default dimensions (1 - Default ; Not 1 - Specific Dimensions</t>
  </si>
  <si>
    <t>GENRE (MOVIE)</t>
  </si>
  <si>
    <t>TS3.TS.3.0.B.B.*</t>
  </si>
  <si>
    <t>COMPRESSED GAS, N.O.S.</t>
  </si>
  <si>
    <t>Admin Password</t>
  </si>
  <si>
    <t>Setup_Sheet Titles row</t>
  </si>
  <si>
    <t>GC/PROMO SKU START DATE</t>
  </si>
  <si>
    <t>ETHYL FLUORIDE - REFRIGERANT GAS R 161</t>
  </si>
  <si>
    <t>POSA_VENDOR</t>
  </si>
  <si>
    <t>RA_PRICE_MATCH_POLICY_DAYS</t>
  </si>
  <si>
    <t>Select a Department:</t>
  </si>
  <si>
    <t>NPN</t>
  </si>
  <si>
    <t>TS BATTERIES ID3</t>
  </si>
  <si>
    <t>For GS Skus
An item may qualify for FF RTV within a certain time frame.</t>
  </si>
  <si>
    <t>MERCURY SECTION</t>
  </si>
  <si>
    <t>270 DAYS_270</t>
  </si>
  <si>
    <t>REFRIGERANT GAS R 407B</t>
  </si>
  <si>
    <t>Drama DVD</t>
  </si>
  <si>
    <t>Substituted nitrophenol pesticides, liquid, flammable, toxic, flashpoint less than 23 °C</t>
  </si>
  <si>
    <t>BAT1</t>
  </si>
  <si>
    <t>NOEL</t>
  </si>
  <si>
    <t>RA_ALERT_INFORMATION</t>
  </si>
  <si>
    <t>MSIDLQ1.IGNORE</t>
  </si>
  <si>
    <t>FIRE EXTINGUISHERS WITH COMPRESSED OR LIQUEFIED GAS</t>
  </si>
  <si>
    <t>EXTENDED PARTS WARRANTY</t>
  </si>
  <si>
    <t>AUTHORIZED_FOR_SALE</t>
  </si>
  <si>
    <t>Toxic liquid, flammable, organic, n.o.s. or Toxic liquid, flammable, organic, n.o.s. Inhalation Hazard, Packing Group I, Zone A or B</t>
  </si>
  <si>
    <t>MERCURY BASED PESTICIDE, LIQUID, FLAMMABLE, TOXIC</t>
  </si>
  <si>
    <t>IGNORE10.0</t>
  </si>
  <si>
    <t>Enter the retail price for the Tag SKU</t>
  </si>
  <si>
    <t>Criterion DVD</t>
  </si>
  <si>
    <t>ZONE_GROUP_ID</t>
  </si>
  <si>
    <t>AEROSOL , FLAMMABLE</t>
  </si>
  <si>
    <t>RA_RAPID_EXCHANGEABLE</t>
  </si>
  <si>
    <t>WORLD FRENCH</t>
  </si>
  <si>
    <t>Inner Pack Qty for additional supplier 6</t>
  </si>
  <si>
    <t>For Inventory set-up, do not mix different product categories in same set-up sheet.  Remember that each product category has particular Content Specifications requirement.</t>
  </si>
  <si>
    <t>BATJ</t>
  </si>
  <si>
    <t>Silver Oxide Coin/Button</t>
  </si>
  <si>
    <t>DIN-HM</t>
  </si>
  <si>
    <t>SKU 17</t>
  </si>
  <si>
    <t>LTL BBYC Carrier_1</t>
  </si>
  <si>
    <t>Please Enable this function to continue.</t>
  </si>
  <si>
    <t>ALPHA-METHYLBENZYL, ALCOHOL, LIQUID</t>
  </si>
  <si>
    <t>LESS THAN TRUCKLOAD (LTL)</t>
  </si>
  <si>
    <r>
      <rPr>
        <b/>
        <sz val="10"/>
        <color rgb="FF000000"/>
        <rFont val="Calibri"/>
        <family val="2"/>
        <scheme val="minor"/>
      </rPr>
      <t>SDS and TS Reference IDs (filenames of SDS and TS files attached in the email)</t>
    </r>
    <r>
      <rPr>
        <sz val="10"/>
        <color rgb="FF000000"/>
        <rFont val="Calibri"/>
        <family val="2"/>
        <scheme val="minor"/>
      </rPr>
      <t xml:space="preserve">
</t>
    </r>
  </si>
  <si>
    <t>SR43 (SR1142)</t>
  </si>
  <si>
    <t>AMINES/POLYAMINES, FLAMABLE, CORROSIVE, NOS</t>
  </si>
  <si>
    <t>Taiwan_8</t>
  </si>
  <si>
    <t>SR69 (SR921)</t>
  </si>
  <si>
    <t>SHIP_CARTON_HGT</t>
  </si>
  <si>
    <t>N (KR1)</t>
  </si>
  <si>
    <t>=ROW(input_q1)</t>
  </si>
  <si>
    <t>Supplier8</t>
  </si>
  <si>
    <t>Nanjing, CN_13</t>
  </si>
  <si>
    <t>SKU 5</t>
  </si>
  <si>
    <t>ARTICLES, PRESSURIZED, HYDRAULIC/PNEUMATIC (containing non-flammable gas)</t>
  </si>
  <si>
    <t>Bat4 - Type</t>
  </si>
  <si>
    <t>DANGEROUS PRODUCT/MATERIAL</t>
  </si>
  <si>
    <t>MODEL_NO</t>
  </si>
  <si>
    <t>DDP DELIVERED DUTY PAID</t>
  </si>
  <si>
    <t>SUPPLIER1</t>
  </si>
  <si>
    <t>REPORTING DEPT</t>
  </si>
  <si>
    <t>BATT_FORMAT</t>
  </si>
  <si>
    <t>RCR123</t>
  </si>
  <si>
    <t>MT516F</t>
  </si>
  <si>
    <t>Activation Plan_ACTPLN</t>
  </si>
  <si>
    <t>AAA (10440)</t>
  </si>
  <si>
    <t>Collector Sets DVD</t>
  </si>
  <si>
    <t xml:space="preserve">Supp9_Unit_Cost </t>
  </si>
  <si>
    <t>Best Buy Canada Contact Name</t>
  </si>
  <si>
    <t>TERM_DESC</t>
  </si>
  <si>
    <t>XBOX Series X_XBOXX</t>
  </si>
  <si>
    <t>SKU 37</t>
  </si>
  <si>
    <t>CR2320</t>
  </si>
  <si>
    <t>FileName 7 (BBYC INTERNAL USE ONLY)</t>
  </si>
  <si>
    <t>SERIAL NO. REQUIRED UPON SALE</t>
  </si>
  <si>
    <t>Preferential Tariff</t>
  </si>
  <si>
    <t>TARS, LIQUIDS, INCLUDING ROAD OILS, AND CUTBACK BITUMENS</t>
  </si>
  <si>
    <t>UNIT_COST</t>
  </si>
  <si>
    <t>MAC_MAC</t>
  </si>
  <si>
    <t>ENT_STREET_DATE</t>
  </si>
  <si>
    <t>RA_RETURN_POLICY_DAYS</t>
  </si>
  <si>
    <t>ATTRIBUTE 2</t>
  </si>
  <si>
    <t>Select Fulfillment Type:</t>
  </si>
  <si>
    <t>GSP AD Plus Desktops_PPD</t>
  </si>
  <si>
    <t>Select the Sourcing Type:</t>
  </si>
  <si>
    <t>Flammable solids, corrosive, organic, n.o.s.</t>
  </si>
  <si>
    <t>4KUHD_4KUHD</t>
  </si>
  <si>
    <t>Petty Cash / Paid Outs_PETTY</t>
  </si>
  <si>
    <t>TOYS</t>
  </si>
  <si>
    <t>CR2032</t>
  </si>
  <si>
    <t>SUPP_LABEL</t>
  </si>
  <si>
    <t>Mercury/Component Weight (mg)</t>
  </si>
  <si>
    <t>POP/ROCK ALTERNATIVE</t>
  </si>
  <si>
    <r>
      <rPr>
        <b/>
        <sz val="8"/>
        <color rgb="FF000000"/>
        <rFont val="Calibri"/>
        <family val="2"/>
        <scheme val="minor"/>
      </rPr>
      <t>Values:  Y/N</t>
    </r>
    <r>
      <rPr>
        <sz val="8"/>
        <color rgb="FF000000"/>
        <rFont val="Calibri"/>
        <family val="2"/>
        <scheme val="minor"/>
      </rPr>
      <t>.  Specify if product is Energy Star qualified</t>
    </r>
  </si>
  <si>
    <t xml:space="preserve">For GS Skus 
‘0’ = No AD coverage offered
‘1’ = AD coverage applies during Mfg Warranty (supplemental)
‘2’ – AD coverage applies after Mfg Warranty (independent)
</t>
  </si>
  <si>
    <t>Supp6_Inner_Pack_Size</t>
  </si>
  <si>
    <t>METHYL FLUORIDE - REFRIGERANT GAS R 41</t>
  </si>
  <si>
    <t>p21.PKG.21.0.KG.*.B</t>
  </si>
  <si>
    <t>PET Thermoform or molded Container/ Packaging</t>
  </si>
  <si>
    <t>b4.IGNORE</t>
  </si>
  <si>
    <t>Reward Zone Collection_RZCOL</t>
  </si>
  <si>
    <t>Newsprint (Inserts and Circulars)</t>
  </si>
  <si>
    <t>Other Aluminum &amp; Foil Packaging</t>
  </si>
  <si>
    <t>Flammable solids, organic, n.o.s.</t>
  </si>
  <si>
    <t>FileName 5 (BBYC INTERNAL USE ONLY)</t>
  </si>
  <si>
    <t>MPSP_M</t>
  </si>
  <si>
    <t>LIQUEFIED GAS, N.O.S</t>
  </si>
  <si>
    <t>ST CLAIR</t>
  </si>
  <si>
    <t>COCA COLA CONFECTIONARY_CCCON</t>
  </si>
  <si>
    <t>6_Barcode_Activation</t>
  </si>
  <si>
    <t>LONG DESCRIPTION</t>
  </si>
  <si>
    <t>Television Renewal_TVR</t>
  </si>
  <si>
    <t>Privacy Instruction Code</t>
  </si>
  <si>
    <t>p20.PKG.20.0.KG.*.B</t>
  </si>
  <si>
    <t>SKU 20</t>
  </si>
  <si>
    <t>BROMOTRIFLUOROMETHANE - REFRIDGERANT GAS R 13B1</t>
  </si>
  <si>
    <t>Geek Squad Membership Annual_GSA</t>
  </si>
  <si>
    <t>IGNORE10.2</t>
  </si>
  <si>
    <t>LR23a (LRV08)</t>
  </si>
  <si>
    <t>SUPPLIER</t>
  </si>
  <si>
    <t>p3.PKG.3.0.KG.*.B</t>
  </si>
  <si>
    <t>SR55 (SR1121)</t>
  </si>
  <si>
    <t>PRODUCT WARRANTY COVERAGE</t>
  </si>
  <si>
    <t>C (R14/14D)</t>
  </si>
  <si>
    <t>QUICK DESC.</t>
  </si>
  <si>
    <t>SKU 44</t>
  </si>
  <si>
    <t>2 - # of Batteries in Product (inside)</t>
  </si>
  <si>
    <t>Criterion BLU-RAY</t>
  </si>
  <si>
    <t xml:space="preserve">CCFL Qty </t>
  </si>
  <si>
    <t>SKU 41</t>
  </si>
  <si>
    <t>NON_INVENTORY_SKU_TYPE</t>
  </si>
  <si>
    <t>NITROGEN, REFRIDGERATED LIQUID</t>
  </si>
  <si>
    <t>Classics DVD</t>
  </si>
  <si>
    <t xml:space="preserve">Upto 30 characters.  Manufacturer name of the product.  </t>
  </si>
  <si>
    <t>T SHIRTS</t>
  </si>
  <si>
    <t>Merchandise_MERCH</t>
  </si>
  <si>
    <t>p34.PKG.34.0.KG.*.B</t>
  </si>
  <si>
    <t>PREFERENTIAL TARIFF</t>
  </si>
  <si>
    <t>MASTER CARTON WIDTH</t>
  </si>
  <si>
    <t>CR-V3</t>
  </si>
  <si>
    <t>SR58 (SR721)</t>
  </si>
  <si>
    <t>TRIFLUOROCHLOROETHYLENE, STABILIZED - REFRIDGERANT GAS R 1113</t>
  </si>
  <si>
    <t>UNIT COST FOR ADDITIONAL SUPPLIER(8)</t>
  </si>
  <si>
    <t>Setup_Sheet User Type row</t>
  </si>
  <si>
    <t>DANCE FRENCH</t>
  </si>
  <si>
    <t>Unit Cost for additional supplier 9</t>
  </si>
  <si>
    <t>GenLHybrid_GHL</t>
  </si>
  <si>
    <t>Hybrid Laptop (Surface) LS_FHL</t>
  </si>
  <si>
    <t>sup_return_defaults</t>
  </si>
  <si>
    <t>BR1632</t>
  </si>
  <si>
    <t>SR66 (SR626)</t>
  </si>
  <si>
    <t>UDA</t>
  </si>
  <si>
    <t>- Limited Quantities</t>
  </si>
  <si>
    <t>Wireless Plus Monthly_WPM</t>
  </si>
  <si>
    <t>LOADING CAPACITY PER CONTAINER (40 HQ)</t>
  </si>
  <si>
    <t>=LEFT(Setup_Sheet!D7,1)</t>
  </si>
  <si>
    <t>STORE_ORD_MULT</t>
  </si>
  <si>
    <t>MSLQ5.MSDS.29.0.B.B.*</t>
  </si>
  <si>
    <t>OCTAFLUOROPROPANE - REFRIGERANT GAS R 218</t>
  </si>
  <si>
    <t>Clear Glass Container</t>
  </si>
  <si>
    <t>NEW BRUNSWICK_NB</t>
  </si>
  <si>
    <t>TECH_CHECK_LEVEL</t>
  </si>
  <si>
    <t>4.5V (3LR12 )</t>
  </si>
  <si>
    <t>SKU 49</t>
  </si>
  <si>
    <t xml:space="preserve">Enter "Y" for each item setup.  </t>
  </si>
  <si>
    <t>SUPPORT_MNF_WRNTY</t>
  </si>
  <si>
    <t>DVD Audio_DA</t>
  </si>
  <si>
    <t>Recycling Fee_RECL</t>
  </si>
  <si>
    <t>1 - Watt Hours</t>
  </si>
  <si>
    <t>Tablet LS_FTL</t>
  </si>
  <si>
    <t>SPECIFIC STORE/S ONLY</t>
  </si>
  <si>
    <t>4 YEARS_1460</t>
  </si>
  <si>
    <t>1,1,1,2-TETRAFLUOROETHANE - REFRIGERANT GAS R 134a</t>
  </si>
  <si>
    <t>LR43</t>
  </si>
  <si>
    <t>IGNORE 3.21</t>
  </si>
  <si>
    <t>RA_RAPID_REPAIR_WARRANTY</t>
  </si>
  <si>
    <t>METHYLCYCLOHEXANOLS</t>
  </si>
  <si>
    <t>COMPRESSED GAS, FLAMMABLE, N.O.S</t>
  </si>
  <si>
    <t>Weight - for single sellable unit without box/actual physical product, used for Store shelf space planning</t>
  </si>
  <si>
    <t>SR731 (LR731)</t>
  </si>
  <si>
    <t>Playstation Portable_PSP</t>
  </si>
  <si>
    <t>1 - # of Batteries in Product (inside)</t>
  </si>
  <si>
    <t>CR1216 (5034LC)</t>
  </si>
  <si>
    <t>312 (brown tab/PR41/7002ZD)</t>
  </si>
  <si>
    <t>Supp9_Inner_Pack_Size</t>
  </si>
  <si>
    <t>Vendor/Supplier Name</t>
  </si>
  <si>
    <t>SKU 46</t>
  </si>
  <si>
    <t>KRYPTON, REFRIDGERATED LIQUID</t>
  </si>
  <si>
    <t>S_UNIT_LENGTH</t>
  </si>
  <si>
    <t>SHIP QUEBEC</t>
  </si>
  <si>
    <t>CLASSICAL</t>
  </si>
  <si>
    <t>CLASS</t>
  </si>
  <si>
    <t>Supp9_Supp_Pack_Size</t>
  </si>
  <si>
    <t>TDG/MSDS MISSING</t>
  </si>
  <si>
    <t>MSIDLQ8.IGNORE</t>
  </si>
  <si>
    <t>Lithium Iron Disulfide (LiFe2)</t>
  </si>
  <si>
    <t>CSP TYPE</t>
  </si>
  <si>
    <t>PARTS_WARRANTY_DAYS</t>
  </si>
  <si>
    <t>Pesticides, liquid, toxic, flammable, flashpoint not less than 23 °C</t>
  </si>
  <si>
    <t>PACKAGING</t>
  </si>
  <si>
    <t>SO Commercial Sales_6</t>
  </si>
  <si>
    <t>TS BATTERIES ID2</t>
  </si>
  <si>
    <t>RA_DISPOSE_IN_STORE</t>
  </si>
  <si>
    <t>iOS_iOS</t>
  </si>
  <si>
    <t>RESTOCK_FEE_PCT</t>
  </si>
  <si>
    <t>For products considered dangerous or containing dangerous materials, ensure to provide the appropriate MSDS sheet, else setup request will be rejected.  For batteries, provide the required details in "Battery" Section of the Product Compliance tab.  
Best Buy requires all new products containing Lithium based batteries to provide additional information required under the Transportation of Dangerous Goods Act as well as to keep our employees and partners safe while handling the product.  Refer to Battery section of the Product Compliance tab.</t>
  </si>
  <si>
    <t>Comedians DVD</t>
  </si>
  <si>
    <t>AUTHORIZED FOR SALE</t>
  </si>
  <si>
    <t xml:space="preserve">Supp3_Unit_Cost </t>
  </si>
  <si>
    <t>CASE PACK QTY FOR ADDITIONAL SUPPLIER(1)</t>
  </si>
  <si>
    <t>SKU 33</t>
  </si>
  <si>
    <t>CHLORODIFLUOROBROMOMETHANE - REFRIGERANT GAS R 12B1</t>
  </si>
  <si>
    <t>DIN-HM (Homeopathic Medicine Number - 8 digits)</t>
  </si>
  <si>
    <t>METHALLYL ALCOHOL</t>
  </si>
  <si>
    <t>MT1620</t>
  </si>
  <si>
    <t>INNER PACK QTY FOR ADDITIONAL SUPPLIER(3)</t>
  </si>
  <si>
    <t>Inner Pack Qty for additional supplier 1</t>
  </si>
  <si>
    <t>UNIT COST FOR ADDITIONAL SUPPLIER(2)</t>
  </si>
  <si>
    <t>Service Labour_SERV</t>
  </si>
  <si>
    <t>GenGSP_GSP</t>
  </si>
  <si>
    <t>LIQUIDATION STORES ONLY_1792</t>
  </si>
  <si>
    <t>PRODUCT TYPE</t>
  </si>
  <si>
    <t>SR66 (LR626/1176SO)</t>
  </si>
  <si>
    <t>SUPPLIER5 (ADDITIONAL)</t>
  </si>
  <si>
    <t>CR1220 (5012LC)</t>
  </si>
  <si>
    <t>Notebook AD Renewal_LAD</t>
  </si>
  <si>
    <t>Organotin compods, liquid, n.o.s.</t>
  </si>
  <si>
    <t>MSIDLQ6.IGNORE</t>
  </si>
  <si>
    <t>ISOBUTANOL OR ISOBUTYL ALCOHOL</t>
  </si>
  <si>
    <t>GenMOther_GOM</t>
  </si>
  <si>
    <t xml:space="preserve">Values:  Y/N.  For promotional sku set-up where scannable upc is needed </t>
  </si>
  <si>
    <t>CONSIGNMENT</t>
  </si>
  <si>
    <t>HYDROCARBON GAS MIXTURE - COMPRESSED, N.O.S.</t>
  </si>
  <si>
    <t>SERVICE UNDER MNF WARRANTY</t>
  </si>
  <si>
    <t>Teen_T</t>
  </si>
  <si>
    <t>ACCESSORY</t>
  </si>
  <si>
    <t>SUPP_PACK_SIZE</t>
  </si>
  <si>
    <t>Kaohsiung, TW_8</t>
  </si>
  <si>
    <t>BBY INTERNAL USE</t>
  </si>
  <si>
    <t>LIQUEFIED GAS, FLAMMABLE, N.O.S</t>
  </si>
  <si>
    <t>Not needed for Domestic_15</t>
  </si>
  <si>
    <t>b3.X.*.X.KG.B.B</t>
  </si>
  <si>
    <t>SKU 15</t>
  </si>
  <si>
    <t>IGNORE 3.23</t>
  </si>
  <si>
    <t>BLACKBERRY TABLET OS_BLKBT</t>
  </si>
  <si>
    <t>PERFUMERY PRODUCTS</t>
  </si>
  <si>
    <t>BLUEGRASS</t>
  </si>
  <si>
    <t>Blu-Ray Music_BA</t>
  </si>
  <si>
    <t>Accounting Password</t>
  </si>
  <si>
    <t>HUMPTY DUMPTY CONFECTIONARY_HDCON</t>
  </si>
  <si>
    <t>IGNORE10.1</t>
  </si>
  <si>
    <t>SR65 (LR65)</t>
  </si>
  <si>
    <t>HELIUM, REFRIDGERATED LIQUID</t>
  </si>
  <si>
    <t>PARTS WARRANTY DAYS</t>
  </si>
  <si>
    <t>b4.X.*.X.KG.B.B</t>
  </si>
  <si>
    <t>OTHERS</t>
  </si>
  <si>
    <t xml:space="preserve">NRCAN PRODUCT REGISTRATION CONFIRMED </t>
  </si>
  <si>
    <t>Comedy BLU-RAY</t>
  </si>
  <si>
    <t>REQUIRED COMPONENTS</t>
  </si>
  <si>
    <t>BATZ</t>
  </si>
  <si>
    <t>Family DVD</t>
  </si>
  <si>
    <t>Data Wipe Required - Dep_3</t>
  </si>
  <si>
    <t>1_SONY</t>
  </si>
  <si>
    <t>D (R20/13D)</t>
  </si>
  <si>
    <t>CR2354</t>
  </si>
  <si>
    <t>p33.PKG.33.0.KG.*.B</t>
  </si>
  <si>
    <t>Miscellaneous</t>
  </si>
  <si>
    <t>Liquidateable</t>
  </si>
  <si>
    <t>SMART sheet will validate UPC and Model # from BBYC Setup Sheet, please ensure that they match. 
Please refer to SMART Sheet Cover tab for Guidelines</t>
  </si>
  <si>
    <t>Wuhu,CN_38</t>
  </si>
  <si>
    <t>Unit Cost for additional supplier 4</t>
  </si>
  <si>
    <t>Photofinishing Services_PHOTOF</t>
  </si>
  <si>
    <t>SR60 (SR621)</t>
  </si>
  <si>
    <t>m4.MERC.4.X.MG.*.B</t>
  </si>
  <si>
    <t>DIMENSION (CM): LENGTH/DEPTH (WITH BOX)</t>
  </si>
  <si>
    <t>Tampico, MX_25</t>
  </si>
  <si>
    <t>BR2330</t>
  </si>
  <si>
    <t>IGNORE3.11</t>
  </si>
  <si>
    <t>TSID3.IGNORE</t>
  </si>
  <si>
    <t>Printed Paper (in KG)</t>
  </si>
  <si>
    <t>CASE PACK QTY FOR ADDITIONAL SUPPLIER(9)</t>
  </si>
  <si>
    <t>ACID JAZZ</t>
  </si>
  <si>
    <t>MAKE</t>
  </si>
  <si>
    <t>RA_RAPID_REPAIR_PSP</t>
  </si>
  <si>
    <t>CHILDRENS FRENCH</t>
  </si>
  <si>
    <t>ETHANE, REFRIDGERATED LIQUID</t>
  </si>
  <si>
    <t>Case Pack Qty for additional supplier 2</t>
  </si>
  <si>
    <t>SHARED COMMERCIAL SALES_1383</t>
  </si>
  <si>
    <t>AA (R6/15D)</t>
  </si>
  <si>
    <t>COUNTRY OF ORIGIN</t>
  </si>
  <si>
    <t>Anime DVD</t>
  </si>
  <si>
    <t>REFRIDGERANT GAS, NOS</t>
  </si>
  <si>
    <t>INNER PACK QTY FOR ADDITIONAL SUPPLIER(1)</t>
  </si>
  <si>
    <t>Comedians BLU-RAY</t>
  </si>
  <si>
    <t>m1.MERC.1.*.MG.X.B</t>
  </si>
  <si>
    <t>Monthly PEP_PEP</t>
  </si>
  <si>
    <t>3 - *Qty (total no. of batteries for this type)</t>
  </si>
  <si>
    <t>Supplier4</t>
  </si>
  <si>
    <t>UNDERGROUND</t>
  </si>
  <si>
    <t>LR932</t>
  </si>
  <si>
    <t>For Vendor Direct/Commerce Hub Vendors only. Default to 4</t>
  </si>
  <si>
    <t>REPORTING_DEPT</t>
  </si>
  <si>
    <t>Values:  Y/N</t>
  </si>
  <si>
    <t>Flammable solid, corrosive, inorganic, n.o.s.</t>
  </si>
  <si>
    <t>CR2012</t>
  </si>
  <si>
    <t>Desktop LS_FDL</t>
  </si>
  <si>
    <t>User type</t>
  </si>
  <si>
    <t>RA_SUPPORT_MNF_WRNTY</t>
  </si>
  <si>
    <t>Additional Supplier if  needed (ie: for Cross Dock, DTS, Regi, VMI, Air replenishment)</t>
  </si>
  <si>
    <t>Inner Pack Qty for additional supplier 7</t>
  </si>
  <si>
    <t>b4.*.X.X.KG.B.B</t>
  </si>
  <si>
    <t>AUTO_DESTABLE</t>
  </si>
  <si>
    <t>SR68 (LR916)</t>
  </si>
  <si>
    <t>DVD MUSIC</t>
  </si>
  <si>
    <t>DELETE BIN</t>
  </si>
  <si>
    <t>CHRISTMAS</t>
  </si>
  <si>
    <t>Ningbo, CN_14</t>
  </si>
  <si>
    <t>Notebook AD_LSA</t>
  </si>
  <si>
    <t>HD-DVD-Movie_HD</t>
  </si>
  <si>
    <t>Incomm prepaid cards_PREPD</t>
  </si>
  <si>
    <t>Not Rated_R</t>
  </si>
  <si>
    <t>SHORT DESCRIPTION</t>
  </si>
  <si>
    <t>PRODUCT_TYPE</t>
  </si>
  <si>
    <t>CSP_HIGHEST_PRICE</t>
  </si>
  <si>
    <t>THIRD_PARTY_IND</t>
  </si>
  <si>
    <t>YUKON_YT</t>
  </si>
  <si>
    <t>GSP Plus Hybrid_PHM</t>
  </si>
  <si>
    <t>OLD DUTCH CONFECTIONARY_GENMCH</t>
  </si>
  <si>
    <t>Action-Adventure BLU-RAY</t>
  </si>
  <si>
    <t>CASE PACK QTY FOR ADDITIONAL SUPPLIER(2)</t>
  </si>
  <si>
    <t>Case Pack Qty for additional supplier 5</t>
  </si>
  <si>
    <t>SKU 11</t>
  </si>
  <si>
    <t>RAPID_EXCHANGEABLE</t>
  </si>
  <si>
    <t>JAZZ FRENCH</t>
  </si>
  <si>
    <t>SERVICE OUTSIDE MNF WARRANTY</t>
  </si>
  <si>
    <t>STATE</t>
  </si>
  <si>
    <t>FF RTV DAYS</t>
  </si>
  <si>
    <t>Lithium-Polymer</t>
  </si>
  <si>
    <t>Laem Chabang, TH_10</t>
  </si>
  <si>
    <t xml:space="preserve">Supp8_Unit_Cost </t>
  </si>
  <si>
    <t>b1.X.*.X.KG.B.B</t>
  </si>
  <si>
    <t>Product Compliance</t>
  </si>
  <si>
    <t>Notebook AD Renewal_LAQ</t>
  </si>
  <si>
    <t>MANUFACTURER_NAME</t>
  </si>
  <si>
    <t>SR68 (SR916)</t>
  </si>
  <si>
    <t>SKU 31</t>
  </si>
  <si>
    <t>PURCHASE_UOM</t>
  </si>
  <si>
    <t>UNIT COST FOR ADDITIONAL SUPPLIER(7)</t>
  </si>
  <si>
    <t xml:space="preserve">SKU UPCHARGE </t>
  </si>
  <si>
    <t>=Cases!I2</t>
  </si>
  <si>
    <t>PENTANES, LIQUID</t>
  </si>
  <si>
    <t>NOT TO BE USED BY BUSINESS EFFECTIVE MARCH 5,2012, BUT INCLUDED IN LOADER</t>
  </si>
  <si>
    <t>Quebecois BLU-RAY</t>
  </si>
  <si>
    <t>Organotin pesticides, liquid, flammable, toxic, flashpoint less than 23 °C</t>
  </si>
  <si>
    <t>Drama BLU-RAY</t>
  </si>
  <si>
    <t>GENRE (MUSIC)</t>
  </si>
  <si>
    <t>=ROW(input_user)</t>
  </si>
  <si>
    <t>DIMENSION (CM): WIDTH (WITH BOX)</t>
  </si>
  <si>
    <t>RA_RTV_DEFECTIVE_DAYS</t>
  </si>
  <si>
    <t>=ROW(ss_title_1)</t>
  </si>
  <si>
    <t>ALCOHOLS, NOS</t>
  </si>
  <si>
    <t>Wireless AD Monthly_TPM</t>
  </si>
  <si>
    <t>SKU 30</t>
  </si>
  <si>
    <t>4.5V (3R12)</t>
  </si>
  <si>
    <t>LIQUIDATEABLE</t>
  </si>
  <si>
    <t>Values: 30, 14.  Number of days since purchase that the product is returnable within policy.</t>
  </si>
  <si>
    <t>ON_SITE_WARRANTY_DAYS</t>
  </si>
  <si>
    <t>SKU_SELL_UOM</t>
  </si>
  <si>
    <t>DVD Kiosk_14</t>
  </si>
  <si>
    <t>Toxic solid, corrosive, organic, n.o.s.</t>
  </si>
  <si>
    <t>NAFTA_2</t>
  </si>
  <si>
    <t>SUPPLIER8</t>
  </si>
  <si>
    <t>REFRIGERANT GAS R 407A</t>
  </si>
  <si>
    <t>1 - Cells in Lithium (single or multiple)</t>
  </si>
  <si>
    <t>CR2016 (5000LC)</t>
  </si>
  <si>
    <t>SKU 39</t>
  </si>
  <si>
    <t>GSP Plus Laptops_PLM</t>
  </si>
  <si>
    <t>Alkaline Battery</t>
  </si>
  <si>
    <t>Fuzhou, CN_4</t>
  </si>
  <si>
    <t>China_1</t>
  </si>
  <si>
    <t>Mexico_6</t>
  </si>
  <si>
    <t>LOADING CAPACITY PER CONTAINER (20 GP)</t>
  </si>
  <si>
    <t>AMBIENT</t>
  </si>
  <si>
    <t>LIQUID</t>
  </si>
  <si>
    <t>UDA_Desc</t>
  </si>
  <si>
    <t>MAX_QTY_ALLOWED</t>
  </si>
  <si>
    <t>Holiday BLU-RAY</t>
  </si>
  <si>
    <t>Tokyo, Japan_27</t>
  </si>
  <si>
    <t>MANITOBA_MB</t>
  </si>
  <si>
    <t>Admin Fee(Financing Option)_ADMFEE</t>
  </si>
  <si>
    <t xml:space="preserve">For Recycling and Bottle Deposit, Province is required, else leave it blank  Select accordingly from the list </t>
  </si>
  <si>
    <t>Comedy DVD</t>
  </si>
  <si>
    <t xml:space="preserve">For Movie only, please choose the appropriate Genre on drop down list </t>
  </si>
  <si>
    <t>ES_LABEL_ID</t>
  </si>
  <si>
    <t>UPC2</t>
  </si>
  <si>
    <t>UPC (THIRD)</t>
  </si>
  <si>
    <t>SR57 (SR927)</t>
  </si>
  <si>
    <t>Mercury/Bulb Weight (mg)</t>
  </si>
  <si>
    <t>CR-P2</t>
  </si>
  <si>
    <t xml:space="preserve">If set-up is only for specific store/s, provide the store no. </t>
  </si>
  <si>
    <t>GAS CARTRIDGES without a release device, non-refillable (FLAMMABLE AND NON-FLAMMABLE)</t>
  </si>
  <si>
    <t>Taichung, TW_24</t>
  </si>
  <si>
    <t># Attributes</t>
  </si>
  <si>
    <t>Aseptic Containers</t>
  </si>
  <si>
    <t>Future Shop_F</t>
  </si>
  <si>
    <t>Case Pack Qty for additional supplier 7</t>
  </si>
  <si>
    <t>CAN_MANUFACTURER_WARRANTY</t>
  </si>
  <si>
    <t>Supplier1</t>
  </si>
  <si>
    <t>SR41 (SR736)</t>
  </si>
  <si>
    <t>30 DAYS_30</t>
  </si>
  <si>
    <t>Steel Aerosols</t>
  </si>
  <si>
    <t>Default to N</t>
  </si>
  <si>
    <t>UPC (Primary)</t>
  </si>
  <si>
    <t>PC Games_PC</t>
  </si>
  <si>
    <t>Rating Pending_P</t>
  </si>
  <si>
    <t>DIMENSION (CM): HEIGHT (WITH BOX)</t>
  </si>
  <si>
    <t>V5.22</t>
  </si>
  <si>
    <t>RA_MUST_RECYCLE</t>
  </si>
  <si>
    <t>GAS</t>
  </si>
  <si>
    <t>4 - HAZMAT UN# (4 Digits)</t>
  </si>
  <si>
    <t>Promo</t>
  </si>
  <si>
    <t>Web Only_3</t>
  </si>
  <si>
    <t>BBY INTERNAL USE SECTION</t>
  </si>
  <si>
    <t>DVD_DVD</t>
  </si>
  <si>
    <t>REQUIRED_COMPONENTS</t>
  </si>
  <si>
    <t>SR58 (LR721/1158SO)</t>
  </si>
  <si>
    <t>Laptop LS_FL</t>
  </si>
  <si>
    <t>b2.X.X.X.KG.*.B</t>
  </si>
  <si>
    <t>TAG SKU RETAIL PRICE</t>
  </si>
  <si>
    <t>ADD_STORES</t>
  </si>
  <si>
    <t>SERIAL_REQ_FOR_RETURN</t>
  </si>
  <si>
    <t>SKU 3</t>
  </si>
  <si>
    <t>Japan_3</t>
  </si>
  <si>
    <t>Number: 0 - 9 (Ex: 1 =LCD )</t>
  </si>
  <si>
    <t>TETRAFLUOROMETHANE -  REFRIGERANT GAS R 14</t>
  </si>
  <si>
    <t>Store Order Multiple</t>
  </si>
  <si>
    <t>SHIP_CARTON_LEN</t>
  </si>
  <si>
    <t>GenGSPR_GRP</t>
  </si>
  <si>
    <t>Singapore, SIN_23</t>
  </si>
  <si>
    <t>Alliance_4</t>
  </si>
  <si>
    <t>CHLOROTRIFLUOROMETHANE AND TRIFLUOROMETHANE AZEOTROPIC MIXTURE - REFRIGERANT GAS R 503</t>
  </si>
  <si>
    <t>L3.LIMQ.3.*.B.B.B</t>
  </si>
  <si>
    <t>DIMENSION (KG): WEIGHT (NO  BOX)</t>
  </si>
  <si>
    <t>6 YEARS_2190</t>
  </si>
  <si>
    <t>UDA_Value</t>
  </si>
  <si>
    <t>3 - Watt Hours</t>
  </si>
  <si>
    <t>Television Sci-Fi BLU-RAY</t>
  </si>
  <si>
    <t>Thailand_9</t>
  </si>
  <si>
    <t>Television LS_FVL</t>
  </si>
  <si>
    <t>BAT2</t>
  </si>
  <si>
    <t>STREET DATE</t>
  </si>
  <si>
    <t>Country of Origin</t>
  </si>
  <si>
    <t>MASTER CARTON HEIGHT</t>
  </si>
  <si>
    <t>Serialized Format</t>
  </si>
  <si>
    <t>FRENCH COMPLIANT</t>
  </si>
  <si>
    <t>BBY_IN_STOCK_DATE</t>
  </si>
  <si>
    <t xml:space="preserve">SPECIFIC LOCATION TRAIT ONLY </t>
  </si>
  <si>
    <t>ATTRIBUTE 3</t>
  </si>
  <si>
    <t>3 - UN# (4 digits) -&gt; use double click to open the UN# helper</t>
  </si>
  <si>
    <t>SKU 13</t>
  </si>
  <si>
    <t>Numeric value - null/ blank is not valid.  This amount will be applied as an upcharge to the SKU for Staff Purchase delivery of Furniture,Home Décor and other heavy/big items in Expanded Assortments group</t>
  </si>
  <si>
    <t>BAT7</t>
  </si>
  <si>
    <t>CR2477</t>
  </si>
  <si>
    <t>CSP_POLICY</t>
  </si>
  <si>
    <t>MS2.MSDS.6.0.B.B.*</t>
  </si>
  <si>
    <t>Sony_8</t>
  </si>
  <si>
    <t>Qingdao, CN_20</t>
  </si>
  <si>
    <t>SERVICE_APPLICABLE_FLAG</t>
  </si>
  <si>
    <t>For set-ups that require approvals, please include approval on the email alongwith the set-up form.  
* Non-French Compliant set-up requires VP approval
* New Brand Name needs new logo - set-up requires Content Production approval 
* New Manufacturer needs valid website</t>
  </si>
  <si>
    <t>Supplier/Vendor code no. (for Vendor Direct replenishment)</t>
  </si>
  <si>
    <t>R</t>
  </si>
  <si>
    <t>UPC_TYPE</t>
  </si>
  <si>
    <t>CHRISTIAN</t>
  </si>
  <si>
    <t>LTL Vendor Carrier_2</t>
  </si>
  <si>
    <t>SUD Data</t>
  </si>
  <si>
    <t>MS3.MSDS.7.0.B.B.*</t>
  </si>
  <si>
    <t>ARSENICAL PESTICIDE, LIQUID, FLAMMABLE, TOXIC</t>
  </si>
  <si>
    <t>COST_ZONE_GROUP_ID</t>
  </si>
  <si>
    <t>SR57 (SR926)</t>
  </si>
  <si>
    <t>DVD_DV</t>
  </si>
  <si>
    <t>PROCESS_AT_MEDIA_DC</t>
  </si>
  <si>
    <t>Value</t>
  </si>
  <si>
    <t>White Goods_W</t>
  </si>
  <si>
    <t>SUPPLIER4 (ADDITIONAL)</t>
  </si>
  <si>
    <t>Carbon dioxide</t>
  </si>
  <si>
    <t>War BLU-RAY</t>
  </si>
  <si>
    <t>AA</t>
  </si>
  <si>
    <t>ALL_ACCESS_REQ_FOR_RTV</t>
  </si>
  <si>
    <t>BATD</t>
  </si>
  <si>
    <t>POS Activation (virtual card)_POSAV</t>
  </si>
  <si>
    <t>Playstation Vita_PSVITA</t>
  </si>
  <si>
    <t xml:space="preserve">Selling Price should  end in .99 (Ex: 9.99).  
</t>
  </si>
  <si>
    <t>SKU 23</t>
  </si>
  <si>
    <t>RESTOCKING FEE %</t>
  </si>
  <si>
    <t>BAT4</t>
  </si>
  <si>
    <t>RUN_DISPOSITION</t>
  </si>
  <si>
    <t>m1.MERC.1.X.MG.*.B</t>
  </si>
  <si>
    <t>N/A_0</t>
  </si>
  <si>
    <t>CR1620 (5009LC)</t>
  </si>
  <si>
    <t>Bat1 - Type</t>
  </si>
  <si>
    <t>AA (14505)</t>
  </si>
  <si>
    <t>Shanghai, CN_21</t>
  </si>
  <si>
    <t>GenMLaptop_GLM</t>
  </si>
  <si>
    <t>BBY_OUT_OF_STOCK_DATE</t>
  </si>
  <si>
    <t>UPC_TYPE1</t>
  </si>
  <si>
    <t>FS QUEBEC STORES_4268</t>
  </si>
  <si>
    <t>PLA, PHA, PHB  Container/ Packaging- Beverage</t>
  </si>
  <si>
    <t>3 - HAZMAT UN# (4 Digits)</t>
  </si>
  <si>
    <t>UPC_TYPE2</t>
  </si>
  <si>
    <t>Wireless Monthly_FWM</t>
  </si>
  <si>
    <t>SDS BATTERIES ID1</t>
  </si>
  <si>
    <t>Canada_14</t>
  </si>
  <si>
    <t>Vinyl (LP or 12" Single)_LP</t>
  </si>
  <si>
    <t>LAYAWAY_DEPOSIT_ALLOWED</t>
  </si>
  <si>
    <t>AA (14500)</t>
  </si>
  <si>
    <t>Classic Animated BLU-RAY</t>
  </si>
  <si>
    <t>LS PEP A_PAL</t>
  </si>
  <si>
    <t>Paper Packaging (in KG)</t>
  </si>
  <si>
    <t>MSLQ4.MSDS.28.0.B.B.*</t>
  </si>
  <si>
    <t>PROCESS AT MEDIA DC</t>
  </si>
  <si>
    <t>RA_DEPOT_RTV</t>
  </si>
  <si>
    <t>GSP AD Plus Appliances_PPA</t>
  </si>
  <si>
    <t>GenLTelevision_GVL</t>
  </si>
  <si>
    <t>BATA</t>
  </si>
  <si>
    <t>PRODUCT INFORMATION</t>
  </si>
  <si>
    <t>Mature - Video Game_M</t>
  </si>
  <si>
    <t>EXPECTED VALUES/ EXPLANATIONS</t>
  </si>
  <si>
    <t>Supplier3</t>
  </si>
  <si>
    <t>45 DAYS_45</t>
  </si>
  <si>
    <t>FURFURYL ALCOHOL</t>
  </si>
  <si>
    <t>Some attribute values have extended characters separated by "_",  these are actual codes required by the RMS system.</t>
  </si>
  <si>
    <t>LS PEP_PEL</t>
  </si>
  <si>
    <t>IGNORE3.4</t>
  </si>
  <si>
    <t>SR54 (LR1131/1138SO)</t>
  </si>
  <si>
    <t>D</t>
  </si>
  <si>
    <t>SR516 (LR516)</t>
  </si>
  <si>
    <t>PRICE MATCH POLICY DAYS</t>
  </si>
  <si>
    <t>Alphanumeric - upto 30 chars.  Required to order from vendor.  Case/character sensitive for EDI transmission. Not Mandatory for non-inventory set-up</t>
  </si>
  <si>
    <t>JAZZ</t>
  </si>
  <si>
    <t>Western DVD</t>
  </si>
  <si>
    <t>POP/ROCK</t>
  </si>
  <si>
    <t>Mercury Vendor Import Indicator Row</t>
  </si>
  <si>
    <t>Notebook Monthly_NBM</t>
  </si>
  <si>
    <t>Holiday DVD</t>
  </si>
  <si>
    <t>2CR5</t>
  </si>
  <si>
    <t>EXPIRATION DATE / LOT NUMBER</t>
  </si>
  <si>
    <t>SKU 42</t>
  </si>
  <si>
    <t>SERIALIZED FORMAT</t>
  </si>
  <si>
    <t>NOVA SCOTIA_NS</t>
  </si>
  <si>
    <t>CR1620</t>
  </si>
  <si>
    <t>BAT3</t>
  </si>
  <si>
    <t>SO BBYfB_8</t>
  </si>
  <si>
    <t>PC / MAC_PCMAC</t>
  </si>
  <si>
    <t>UDA_ID</t>
  </si>
  <si>
    <t>CR2</t>
  </si>
  <si>
    <t xml:space="preserve">LIQUID </t>
  </si>
  <si>
    <t>=Cases!I4</t>
  </si>
  <si>
    <t>IGNORE3.3</t>
  </si>
  <si>
    <t>Alkaline Coin/Button</t>
  </si>
  <si>
    <t>CSP_TYPE</t>
  </si>
  <si>
    <t>b3.*.X.X.KG.B.B</t>
  </si>
  <si>
    <t>SR48 (SR754)</t>
  </si>
  <si>
    <t>SDS for Limited Quantities</t>
  </si>
  <si>
    <t>First Name of the Artist.  For Band/Group or mix artists, enter names in Artist Last Name field</t>
  </si>
  <si>
    <t>Product Compliance tab  is partially populated with details provided on the Setup Sheet (upc#, brand name and model#) so can enter appropriate values for each item to be set-up.</t>
  </si>
  <si>
    <t xml:space="preserve">Vendor </t>
  </si>
  <si>
    <t>DATA_FLAG</t>
  </si>
  <si>
    <t>Tianjin, CN_26</t>
  </si>
  <si>
    <t>SOUNDTRACK FRENCH</t>
  </si>
  <si>
    <t>DICHLORODIFLUOROMETHANE - REFRIDGERANT GAS R 12</t>
  </si>
  <si>
    <t>S_UNIT_WEIGHT</t>
  </si>
  <si>
    <t>GenMDesktop_GDM</t>
  </si>
  <si>
    <t>EXT_PARTS_WARRANTY</t>
  </si>
  <si>
    <t>RA_SERVICE_UNDER_MNF_WRNTY</t>
  </si>
  <si>
    <t>Appliances Renewal_APR</t>
  </si>
  <si>
    <t>FileName 4 (BBYC INTERNAL USE ONLY)</t>
  </si>
  <si>
    <t>N/A_3</t>
  </si>
  <si>
    <t>EASY LISTENING</t>
  </si>
  <si>
    <t>MSLQ1.MSDS.25.0.B.B.*</t>
  </si>
  <si>
    <t>Playstation 5_PS5</t>
  </si>
  <si>
    <t>PACKAGING MISSING</t>
  </si>
  <si>
    <t>MSIDLQ4.IGNORE</t>
  </si>
  <si>
    <t>INNER PACK QTY FOR ADDITIONAL SUPPLIER(5)</t>
  </si>
  <si>
    <t>Extra Info for Battery 1</t>
  </si>
  <si>
    <t>For Samsung Tablet only,  enter the amount to be applied as an upcharge to the SKU (ie Negative Sell Thru)</t>
  </si>
  <si>
    <r>
      <rPr>
        <b/>
        <sz val="8"/>
        <color rgb="FF000000"/>
        <rFont val="Calibri"/>
        <family val="2"/>
        <scheme val="minor"/>
      </rPr>
      <t>Values:</t>
    </r>
    <r>
      <rPr>
        <sz val="8"/>
        <color rgb="FF000000"/>
        <rFont val="Calibri"/>
        <family val="2"/>
        <scheme val="minor"/>
      </rPr>
      <t xml:space="preserve">  Y/N</t>
    </r>
  </si>
  <si>
    <t>Email</t>
  </si>
  <si>
    <t>Other Components Qty</t>
  </si>
  <si>
    <t>Hybrid Laptop (Surface) Monthly_FHM</t>
  </si>
  <si>
    <t>SUPPLIER9</t>
  </si>
  <si>
    <t>Lantern</t>
  </si>
  <si>
    <t>Case Pack Qty for additional supplier 8</t>
  </si>
  <si>
    <t>b4.X.X.*.KG.B.B</t>
  </si>
  <si>
    <t>ALDEHYDES, FLAMMABLE, TOXIC</t>
  </si>
  <si>
    <t>Corrosive liquids, flammable, n.o.s.</t>
  </si>
  <si>
    <t>Promotion Funding_PRFUND</t>
  </si>
  <si>
    <t>Alert Information</t>
  </si>
  <si>
    <t>ACTIVE</t>
  </si>
  <si>
    <t>AAA (HR03)</t>
  </si>
  <si>
    <t>PRIVACY_INSTRUCTION_CODE</t>
  </si>
  <si>
    <t>Keelung, TW_9</t>
  </si>
  <si>
    <t>RAP FRENCH</t>
  </si>
  <si>
    <t>SUB-C (KR22C429)</t>
  </si>
  <si>
    <t>Paper Laminates with foil or plastic</t>
  </si>
  <si>
    <t>2 - Size/Format</t>
  </si>
  <si>
    <t>675 (blue tab/PR44)</t>
  </si>
  <si>
    <t>L4.LIMQ.4.*.B.B.B</t>
  </si>
  <si>
    <t>RAINCHECK_ALLOWED</t>
  </si>
  <si>
    <t>Consignment_CONSIN</t>
  </si>
  <si>
    <t>Plastic Laminates with metalized foil, wax or paper: Bubble wrap, tapes, etc</t>
  </si>
  <si>
    <t>PRE_ORDER_DAYS</t>
  </si>
  <si>
    <t>Canada_3</t>
  </si>
  <si>
    <t>IGNORE10.7</t>
  </si>
  <si>
    <t>Select delivery service level from drop-down. Leave blank if product is not considered a big heavy good (BHG) or will not be shipped via less-than-truckload (LTL).</t>
  </si>
  <si>
    <t>CR1616</t>
  </si>
  <si>
    <t>Vendor Direct Exclusive_10</t>
  </si>
  <si>
    <t>DATA FLAG</t>
  </si>
  <si>
    <t>BRAND_NAME</t>
  </si>
  <si>
    <t>AC41E (PR43)</t>
  </si>
  <si>
    <t>SR42 (SR1136)</t>
  </si>
  <si>
    <t>RA_RAPID_REPAIR_FEE</t>
  </si>
  <si>
    <t>Notebook Renewal_NBR</t>
  </si>
  <si>
    <t>10 and Older_O</t>
  </si>
  <si>
    <t>Non- Expanded Polystyrene, Styrofoam- Other</t>
  </si>
  <si>
    <t>RA_SUPPLIER_CONTACT</t>
  </si>
  <si>
    <t>Wireless LS_FWL</t>
  </si>
  <si>
    <t>Supp2_Supp_Pack_Size</t>
  </si>
  <si>
    <t>Nansha, CN_36</t>
  </si>
  <si>
    <t>CR123A (CR17345/5018LC)</t>
  </si>
  <si>
    <t>Playstation 3_PS3</t>
  </si>
  <si>
    <t>b1.*.X.X.KG.B.B</t>
  </si>
  <si>
    <t>MFG_TECH_SUPPORT_TERM</t>
  </si>
  <si>
    <t>Department</t>
  </si>
  <si>
    <t>Control</t>
  </si>
  <si>
    <t>Television DVD</t>
  </si>
  <si>
    <t>ALBERTA_AB</t>
  </si>
  <si>
    <t>Jiangxi, CN_34</t>
  </si>
  <si>
    <t>FS STORES EXC WEB_5799</t>
  </si>
  <si>
    <t>Lantern (4R25Y)</t>
  </si>
  <si>
    <t>IGNORE4.1</t>
  </si>
  <si>
    <t>GC/PROMO SKU</t>
  </si>
  <si>
    <t>D-VHS_DH</t>
  </si>
  <si>
    <t>Caps_CP</t>
  </si>
  <si>
    <t>Dalian, CN_32</t>
  </si>
  <si>
    <t>Hong Kong, CN_6</t>
  </si>
  <si>
    <t>BLUES</t>
  </si>
  <si>
    <t>PVT_LBL</t>
  </si>
  <si>
    <t>NPN (Natural Product Number - 8 digits)</t>
  </si>
  <si>
    <t>CONSIGNMENT_RATE</t>
  </si>
  <si>
    <t>NINTENDO 3DS_3DS</t>
  </si>
  <si>
    <t>ALWAYS RTV</t>
  </si>
  <si>
    <t>SUD_Data Mapping</t>
  </si>
  <si>
    <t>D (32600P)</t>
  </si>
  <si>
    <t>Store Value Card_SVC</t>
  </si>
  <si>
    <t>Unit Cost for additional supplier 8</t>
  </si>
  <si>
    <t>PRINCE EDWARD IS_PE</t>
  </si>
  <si>
    <t>Fitness DVD</t>
  </si>
  <si>
    <t>C</t>
  </si>
  <si>
    <t>Values:  Y/N.  Y means Lifetime Return to Vendor, Both RTV_Defective &amp; RTV_OB Days must be of same value</t>
  </si>
  <si>
    <t>RA_RTV_OB_DAYS</t>
  </si>
  <si>
    <t>TECHNICAL SUPPORT DAYS</t>
  </si>
  <si>
    <t>CHLORODIFLUOROMETHANE - REFRIDGERANT GAS R 22</t>
  </si>
  <si>
    <t>win_skus</t>
  </si>
  <si>
    <t xml:space="preserve">Supp6_Unit_Cost </t>
  </si>
  <si>
    <t>SR416 (LR416)</t>
  </si>
  <si>
    <t>Specify the number of days since customer's purchase date that defective product can be returned to the vendor</t>
  </si>
  <si>
    <t>4 - Watt Hours</t>
  </si>
  <si>
    <t>1 - Size/Format</t>
  </si>
  <si>
    <t>COMPULSORY_KIT_FLAG</t>
  </si>
  <si>
    <t>RAINCHECK ALLOWED</t>
  </si>
  <si>
    <t>In-Stores Only_13</t>
  </si>
  <si>
    <t>EASY LISTENING FRENCH</t>
  </si>
  <si>
    <t>Non-inventory/non-merchandise set-up does not require Content specifications and image.</t>
  </si>
  <si>
    <t>Port of Origin</t>
  </si>
  <si>
    <t>AAA (KR03)</t>
  </si>
  <si>
    <t>MAX/UNIT</t>
  </si>
  <si>
    <t>FRENCH_COMPLIANT</t>
  </si>
  <si>
    <t>Overseas port where the goods are loaded onto a vessel and shipped to Canada.</t>
  </si>
  <si>
    <t>TAG SKU REQUIRED</t>
  </si>
  <si>
    <t>Supp7_Inner_Pack_Size</t>
  </si>
  <si>
    <t>SR60 (LR621/1175SO)</t>
  </si>
  <si>
    <t>SR44 (SR1154)</t>
  </si>
  <si>
    <t>Camera:</t>
  </si>
  <si>
    <t>Music DVD</t>
  </si>
  <si>
    <t>b3.IGNORE</t>
  </si>
  <si>
    <t>L2.LIMQ.2.*.B.B.B</t>
  </si>
  <si>
    <t>EMBARGO DATE</t>
  </si>
  <si>
    <t>J (4LR61 )</t>
  </si>
  <si>
    <t>Action-Adventure DVD</t>
  </si>
  <si>
    <t>Blu-ray Combo_BRC</t>
  </si>
  <si>
    <t>Required Components</t>
  </si>
  <si>
    <t>RA_LIQUIDATEABLE</t>
  </si>
  <si>
    <t>War DVD</t>
  </si>
  <si>
    <t>IGNORE3.10</t>
  </si>
  <si>
    <t>Monthly Billing PSP_MPSP</t>
  </si>
  <si>
    <t>RTV_DEFECTIVE_DAYS</t>
  </si>
  <si>
    <t>ssspassword</t>
  </si>
  <si>
    <t>Unit Cost for additional supplier 1</t>
  </si>
  <si>
    <t>SR45 (LR936)</t>
  </si>
  <si>
    <t>BR2016</t>
  </si>
  <si>
    <t>Default is null/blank. Epos restricts max qty of an item if number value is entered</t>
  </si>
  <si>
    <t>CD-DVD-MUSIC_CV</t>
  </si>
  <si>
    <t>DANCE</t>
  </si>
  <si>
    <t>SR731 (SR731)</t>
  </si>
  <si>
    <t>FileName 1 (BBYC INTERNAL USE ONLY)</t>
  </si>
  <si>
    <t>Kraft Paper- Non-Laminated</t>
  </si>
  <si>
    <t>CHLORODIFLUOROMETHANE AND CHLOROPENTAFLUOROETHANE MIXTURE - REFRIDGERANT GAS R 502</t>
  </si>
  <si>
    <t>12V</t>
  </si>
  <si>
    <t>RA_RETURNABLE</t>
  </si>
  <si>
    <t>CR2330</t>
  </si>
  <si>
    <t>Lithium-cobalt (LiCoO2)</t>
  </si>
  <si>
    <t>RETURN RESTRICTIONS</t>
  </si>
  <si>
    <t>XBOX 360_X360</t>
  </si>
  <si>
    <t>Glass Packaging (in KG)</t>
  </si>
  <si>
    <t>Tech Check L2_2</t>
  </si>
  <si>
    <t>p27.PKG.27.0.KG.*.B</t>
  </si>
  <si>
    <t>OPEN BOX RETURNABLE</t>
  </si>
  <si>
    <t>PRICE_ENTRY_REQUIRED</t>
  </si>
  <si>
    <t>ORIGINAL_RETAIL</t>
  </si>
  <si>
    <t>CR2325</t>
  </si>
  <si>
    <t>SR65 (SR616)</t>
  </si>
  <si>
    <t>Open Box Returnable</t>
  </si>
  <si>
    <t>SR63 (SR521)</t>
  </si>
  <si>
    <t>RA_TECH_CHECK_LEVEL</t>
  </si>
  <si>
    <t>SR57 (LR926/1165SO)</t>
  </si>
  <si>
    <t>IGNORE 3.13</t>
  </si>
  <si>
    <t xml:space="preserve">LABOUR WARRANTY DAYS </t>
  </si>
  <si>
    <t>Case Pack Qty for additional supplier 1</t>
  </si>
  <si>
    <t>TOXIC</t>
  </si>
  <si>
    <t>Toys_TY</t>
  </si>
  <si>
    <t>WEB TITLE</t>
  </si>
  <si>
    <t>TS4.TS.4.0.B.B.*</t>
  </si>
  <si>
    <t>Tablet Monthly_FTM</t>
  </si>
  <si>
    <t>GenLDesktop_GDL</t>
  </si>
  <si>
    <t>GenLLaptop_GLL</t>
  </si>
  <si>
    <t>Other Rigid Plastic, not listed above</t>
  </si>
  <si>
    <t>MASTER CARTON LENGTH</t>
  </si>
  <si>
    <t>GenMWireless_GWM</t>
  </si>
  <si>
    <t>Bat2 - Type</t>
  </si>
  <si>
    <t>SKU TYPE</t>
  </si>
  <si>
    <t>ADHESIVES CONTAINING FLAMMABLE LIQUIDS</t>
  </si>
  <si>
    <t>SSU Internal Use - to track SKUs created with missing TDG/MSDS requirements</t>
  </si>
  <si>
    <t>Corrosive liquids, toxic, n.o.s.</t>
  </si>
  <si>
    <t>SKU 24</t>
  </si>
  <si>
    <t>Anchor Bay_2</t>
  </si>
  <si>
    <t>Select the type of User</t>
  </si>
  <si>
    <t>Carry-In_INS</t>
  </si>
  <si>
    <t>Adults Only_A</t>
  </si>
  <si>
    <t>GSP Plus Wireless_PWM</t>
  </si>
  <si>
    <t>RA_PRODUCT_WRNTY_DAYS</t>
  </si>
  <si>
    <t>SHIP_CARTON_WID</t>
  </si>
  <si>
    <t>Values: 30, 14.  Number of days since purchase that the product is eligible for price match adjustment</t>
  </si>
  <si>
    <t>INNER PACK QTY FOR ADDITIONAL SUPPLIER(6)</t>
  </si>
  <si>
    <t>BEAST ORDER ID</t>
  </si>
  <si>
    <t>Transfer SS to Data</t>
  </si>
  <si>
    <t>B</t>
  </si>
  <si>
    <t>13 (orange tab/PR48/7000ZD)</t>
  </si>
  <si>
    <r>
      <rPr>
        <b/>
        <sz val="10"/>
        <color theme="1"/>
        <rFont val="Calibri"/>
        <family val="2"/>
        <scheme val="minor"/>
      </rPr>
      <t xml:space="preserve">Finished Goods sold as </t>
    </r>
    <r>
      <rPr>
        <sz val="10"/>
        <color theme="1"/>
        <rFont val="Calibri"/>
        <family val="2"/>
        <scheme val="minor"/>
      </rPr>
      <t>Posters, Calendars and Greeting Cards</t>
    </r>
  </si>
  <si>
    <t>MS5.MSDS.99.0.B.B.*</t>
  </si>
  <si>
    <t>Case Pack Qty for additional supplier 3</t>
  </si>
  <si>
    <t>Nintendo Wii_WII</t>
  </si>
  <si>
    <t>Dual Disc_DD</t>
  </si>
  <si>
    <t>Inner Pack Qty for additional supplier 8</t>
  </si>
  <si>
    <t>SPECIALITY</t>
  </si>
  <si>
    <t>Compliance Description/Criteria</t>
  </si>
  <si>
    <t>ETHANOL/ETHYL</t>
  </si>
  <si>
    <t>1.35V EXP625</t>
  </si>
  <si>
    <t>IGNORE9</t>
  </si>
  <si>
    <t>b3.X.X.X.KG.*.B</t>
  </si>
  <si>
    <t>Actual date/Release Date when product can be sold/processed at Store's Point of Sale (POS).  If not applicable, leave it blank</t>
  </si>
  <si>
    <t xml:space="preserve">Description field for the items that must be returned with the product (ie.  Direct TV Card). Maximum 60 characters. </t>
  </si>
  <si>
    <t>Flag</t>
  </si>
  <si>
    <t>3D Blu-ray Combo_3DBRC</t>
  </si>
  <si>
    <t>Information to be filled by Merchant @ Best Buy Canada</t>
  </si>
  <si>
    <t>IGNORE8</t>
  </si>
  <si>
    <t>Once selection is made, you are required to save the form on separate location.  If you made wrong selection, you need to start over.</t>
  </si>
  <si>
    <t>LEAD_TIME</t>
  </si>
  <si>
    <t xml:space="preserve">SDS Reference IDs (filenames of SDS files attached in the email)
</t>
  </si>
  <si>
    <t>Shipping Term from Vendor code set-up</t>
  </si>
  <si>
    <t>SUPER AUDIO SACD</t>
  </si>
  <si>
    <t>WINDOWS_WIN</t>
  </si>
  <si>
    <t>Values: Y/N.  Defaulted to Y to add all stores based on Sku Owner.  If N, no stores will be attached to the sku</t>
  </si>
  <si>
    <t>Inventory item is defaulted to MERCHANDISE.
POSA cards, greeting cards, Incomm cards, Service, GSP, Promo SKUs, etc have specific SKU_type, pls select accordingly from the dropdown</t>
  </si>
  <si>
    <t>Buying price from vendor,for Vendor Direct or Commerce Hub vendors</t>
  </si>
  <si>
    <t>SKU 9</t>
  </si>
  <si>
    <t>b1.X.X.*.KG.B.B</t>
  </si>
  <si>
    <t>4 - Size/Format</t>
  </si>
  <si>
    <t>PARTS ONLY</t>
  </si>
  <si>
    <t>X</t>
  </si>
  <si>
    <t>S</t>
  </si>
  <si>
    <t>MSDS VE050.pdf</t>
  </si>
  <si>
    <t>Reserved</t>
  </si>
  <si>
    <t>SKU Assisted</t>
  </si>
  <si>
    <t>SKU Assistant Ver</t>
  </si>
  <si>
    <t>Vendor</t>
  </si>
  <si>
    <r>
      <rPr/>
      <t xml:space="preserve">8 OR 12 OR 13 Digits/Number. Acceptable UPC TYPE: UPC-E, UPC-A and EAN13.  Not mandatory for Non_Inventory products. </t>
    </r>
    <r>
      <rPr>
        <b/>
        <sz val="8"/>
        <color rgb="FF000000"/>
        <rFont val="Calibri"/>
        <family val="2"/>
        <scheme val="minor"/>
      </rPr>
      <t>DO NOT PROVIDE IF NOT NECESSARY</t>
    </r>
  </si>
  <si>
    <r>
      <rPr/>
      <t xml:space="preserve">Upto 20 characters. </t>
    </r>
    <r>
      <rPr>
        <b/>
        <sz val="8"/>
        <color rgb="FF000000"/>
        <rFont val="Calibri"/>
        <family val="2"/>
        <scheme val="minor"/>
      </rPr>
      <t>Note:</t>
    </r>
    <r>
      <rPr>
        <sz val="8"/>
        <color rgb="FF000000"/>
        <rFont val="Calibri"/>
        <family val="2"/>
        <scheme val="minor"/>
      </rPr>
      <t xml:space="preserve"> New Brand name requires LOGO approval from Ecom ImageTeam upon set-up submission. </t>
    </r>
  </si>
  <si>
    <r>
      <rPr/>
      <t xml:space="preserve">Model number or name of the product (Up to </t>
    </r>
    <r>
      <rPr>
        <b/>
        <sz val="8"/>
        <color rgb="FF000000"/>
        <rFont val="Calibri"/>
        <family val="2"/>
        <scheme val="minor"/>
      </rPr>
      <t>20 char</t>
    </r>
    <r>
      <rPr>
        <sz val="8"/>
        <color rgb="FF000000"/>
        <rFont val="Calibri"/>
        <family val="2"/>
        <scheme val="minor"/>
      </rPr>
      <t>)</t>
    </r>
  </si>
  <si>
    <r>
      <rPr/>
      <t xml:space="preserve">Supplier/Vendor code no. entered here will be the primary supplier in RMS system. 
</t>
    </r>
    <r>
      <rPr>
        <b/>
        <sz val="8"/>
        <color rgb="FF000000"/>
        <rFont val="Calibri"/>
        <family val="2"/>
        <scheme val="minor"/>
      </rPr>
      <t>Note:</t>
    </r>
    <r>
      <rPr>
        <sz val="8"/>
        <color rgb="FF000000"/>
        <rFont val="Calibri"/>
        <family val="2"/>
        <scheme val="minor"/>
      </rPr>
      <t xml:space="preserve">  Additional vendor codes are available, pls ensure that appropriate cost are also given. 
 For non-inventory set-up with no specific supplier, use #2200 (if sku is returnable) or use 79567 (if sku is non_returnable)</t>
    </r>
  </si>
  <si>
    <r>
      <rPr/>
      <t xml:space="preserve">Buying price from vendor.  </t>
    </r>
    <r>
      <rPr>
        <b/>
        <sz val="8"/>
        <rFont val="Calibri"/>
        <family val="2"/>
        <scheme val="minor"/>
      </rPr>
      <t xml:space="preserve">Note: </t>
    </r>
    <r>
      <rPr>
        <sz val="8"/>
        <color rgb="FF000000"/>
        <rFont val="Calibri"/>
        <family val="2"/>
        <scheme val="minor"/>
      </rPr>
      <t xml:space="preserve"> for set-up with multiple vendor codes, this will be considered as the cost for the primary vendor code. For non_inventory Service skus, cost = 43% of retail price.  </t>
    </r>
  </si>
  <si>
    <r>
      <rPr/>
      <t xml:space="preserve">Values:  Y/N.  If </t>
    </r>
    <r>
      <rPr>
        <b/>
        <sz val="8"/>
        <color rgb="FFFF0000"/>
        <rFont val="Calibri"/>
        <family val="2"/>
        <scheme val="minor"/>
      </rPr>
      <t>N</t>
    </r>
    <r>
      <rPr>
        <sz val="8"/>
        <color rgb="FF000000"/>
        <rFont val="Calibri"/>
        <family val="2"/>
        <scheme val="minor"/>
      </rPr>
      <t xml:space="preserve"> (non_French compliant), ensure to indicate ENG (for English only)  at the end of the long description.    In general, Non-French compliant product can be sold online but cannot be shipped to Quebec locations.  If this product can be shipped to Quebec, it is mandatory to provide value on </t>
    </r>
    <r>
      <rPr>
        <sz val="8"/>
        <color rgb="FFFF0000"/>
        <rFont val="Calibri"/>
        <family val="2"/>
        <scheme val="minor"/>
      </rPr>
      <t xml:space="preserve">Shippable to Quebec (#167) </t>
    </r>
    <r>
      <rPr>
        <sz val="8"/>
        <color rgb="FF000000"/>
        <rFont val="Calibri"/>
        <family val="2"/>
        <scheme val="minor"/>
      </rPr>
      <t>field below.Non-French compliant item set-up requires VP approval.</t>
    </r>
  </si>
  <si>
    <r>
      <rPr/>
      <t xml:space="preserve">If refurbished product, select/enter  Y_1 on drop-down, else leave it blank. Please ensure to </t>
    </r>
    <r>
      <rPr>
        <b/>
        <u/>
        <sz val="8"/>
        <color rgb="FF000000"/>
        <rFont val="Calibri"/>
        <family val="2"/>
        <scheme val="minor"/>
      </rPr>
      <t>indicate REF</t>
    </r>
    <r>
      <rPr>
        <sz val="8"/>
        <color rgb="FF000000"/>
        <rFont val="Calibri"/>
        <family val="2"/>
        <scheme val="minor"/>
      </rPr>
      <t xml:space="preserve"> at the end of long description</t>
    </r>
  </si>
  <si>
    <r>
      <rPr/>
      <t xml:space="preserve">For </t>
    </r>
    <r>
      <rPr>
        <b/>
        <u/>
        <sz val="8"/>
        <color rgb="FF000000"/>
        <rFont val="Calibri"/>
        <family val="2"/>
        <scheme val="minor"/>
      </rPr>
      <t xml:space="preserve">Confidential </t>
    </r>
    <r>
      <rPr>
        <sz val="8"/>
        <color rgb="FF000000"/>
        <rFont val="Calibri"/>
        <family val="2"/>
        <scheme val="minor"/>
      </rPr>
      <t xml:space="preserve"> set-up.  The date indicates that decriptions and related attributes are superficial until product is publicly announced </t>
    </r>
  </si>
  <si>
    <r>
      <rPr/>
      <t xml:space="preserve">If product is French compliant, leave this blank.  
If product is </t>
    </r>
    <r>
      <rPr>
        <sz val="8"/>
        <color rgb="FF000000"/>
        <rFont val="Calibri"/>
        <family val="2"/>
        <scheme val="minor"/>
      </rPr>
      <t xml:space="preserve">non-French Compliant that can be sold online and can be shipped to Quebec,  select </t>
    </r>
    <r>
      <rPr>
        <b/>
        <sz val="8"/>
        <color rgb="FF000000"/>
        <rFont val="Calibri"/>
        <family val="2"/>
        <scheme val="minor"/>
      </rPr>
      <t xml:space="preserve">Y </t>
    </r>
    <r>
      <rPr>
        <sz val="8"/>
        <color rgb="FF000000"/>
        <rFont val="Calibri"/>
        <family val="2"/>
        <scheme val="minor"/>
      </rPr>
      <t>on dropdown</t>
    </r>
    <r>
      <rPr>
        <b/>
        <sz val="8"/>
        <color rgb="FF000000"/>
        <rFont val="Calibri"/>
        <family val="2"/>
        <scheme val="minor"/>
      </rPr>
      <t xml:space="preserve">
I</t>
    </r>
    <r>
      <rPr>
        <sz val="8"/>
        <color rgb="FF000000"/>
        <rFont val="Calibri"/>
        <family val="2"/>
        <scheme val="minor"/>
      </rPr>
      <t xml:space="preserve">f product is non_French Compliant that can be sold but </t>
    </r>
    <r>
      <rPr>
        <b/>
        <sz val="8"/>
        <color rgb="FF000000"/>
        <rFont val="Calibri"/>
        <family val="2"/>
        <scheme val="minor"/>
      </rPr>
      <t>cannot be shipped</t>
    </r>
    <r>
      <rPr>
        <sz val="8"/>
        <color rgb="FF000000"/>
        <rFont val="Calibri"/>
        <family val="2"/>
        <scheme val="minor"/>
      </rPr>
      <t xml:space="preserve"> to Quebec, select </t>
    </r>
    <r>
      <rPr>
        <b/>
        <sz val="8"/>
        <color rgb="FF000000"/>
        <rFont val="Calibri"/>
        <family val="2"/>
        <scheme val="minor"/>
      </rPr>
      <t xml:space="preserve">N </t>
    </r>
    <r>
      <rPr>
        <sz val="8"/>
        <color rgb="FF000000"/>
        <rFont val="Calibri"/>
        <family val="2"/>
        <scheme val="minor"/>
      </rPr>
      <t>on dropdown</t>
    </r>
  </si>
  <si>
    <r>
      <rPr/>
      <t xml:space="preserve"> Is this product considered to be dangerous or does it contain dangerous materials?</t>
    </r>
    <r>
      <rPr>
        <b/>
        <sz val="8"/>
        <color rgb="FF000000"/>
        <rFont val="Calibri"/>
        <family val="2"/>
        <scheme val="minor"/>
      </rPr>
      <t xml:space="preserve">  Y/N.   </t>
    </r>
    <r>
      <rPr>
        <sz val="8"/>
        <color rgb="FF000000"/>
        <rFont val="Calibri"/>
        <family val="2"/>
        <scheme val="minor"/>
      </rPr>
      <t>If "</t>
    </r>
    <r>
      <rPr>
        <b/>
        <sz val="8"/>
        <color rgb="FF000000"/>
        <rFont val="Calibri"/>
        <family val="2"/>
        <scheme val="minor"/>
      </rPr>
      <t>Y</t>
    </r>
    <r>
      <rPr>
        <sz val="8"/>
        <color rgb="FF000000"/>
        <rFont val="Calibri"/>
        <family val="2"/>
        <scheme val="minor"/>
      </rPr>
      <t>", ensure to provide MSDS Form along with  Item Setup and Smart Sheets.
For Batteries, provide additional details in the Battery section of the Product Compliance tab.</t>
    </r>
  </si>
  <si>
    <r>
      <rPr/>
      <t>Type of product to be set-up, ie:</t>
    </r>
    <r>
      <rPr>
        <b/>
        <sz val="8"/>
        <color rgb="FF000000"/>
        <rFont val="Calibri"/>
        <family val="2"/>
        <scheme val="minor"/>
      </rPr>
      <t xml:space="preserve"> </t>
    </r>
    <r>
      <rPr>
        <sz val="8"/>
        <color rgb="FF000000"/>
        <rFont val="Calibri"/>
        <family val="2"/>
        <scheme val="minor"/>
      </rPr>
      <t xml:space="preserve"> White Goods, Regular, Entertainment.  
If WG, ensure to flag Deliverable to Y.
For TV, 52" &amp; below = Regular (Brown Goods), 53" &amp; up = White Goods
</t>
    </r>
  </si>
  <si>
    <r>
      <rPr/>
      <t xml:space="preserve">For Countries who have signed Free Trade Agreements (FTA) with each other, customs duties for selected imported goods that originate from the partner countries are lower or totally eliminated. 
</t>
    </r>
    <r>
      <rPr>
        <b/>
        <sz val="8"/>
        <color rgb="FF000000"/>
        <rFont val="Calibri"/>
        <family val="2"/>
        <scheme val="minor"/>
      </rPr>
      <t xml:space="preserve">Select applicable tariff from the list </t>
    </r>
  </si>
  <si>
    <r>
      <rPr/>
      <t xml:space="preserve">Defaulted to </t>
    </r>
    <r>
      <rPr>
        <b/>
        <sz val="8"/>
        <color rgb="FF000000"/>
        <rFont val="Calibri"/>
        <family val="2"/>
        <scheme val="minor"/>
      </rPr>
      <t>N.  If</t>
    </r>
    <r>
      <rPr>
        <sz val="8"/>
        <color rgb="FF000000"/>
        <rFont val="Calibri"/>
        <family val="2"/>
        <scheme val="minor"/>
      </rPr>
      <t xml:space="preserve"> change to </t>
    </r>
    <r>
      <rPr>
        <b/>
        <sz val="8"/>
        <color rgb="FF000000"/>
        <rFont val="Calibri"/>
        <family val="2"/>
        <scheme val="minor"/>
      </rPr>
      <t>Y--</t>
    </r>
    <r>
      <rPr>
        <sz val="8"/>
        <color rgb="FF000000"/>
        <rFont val="Calibri"/>
        <family val="2"/>
        <scheme val="minor"/>
      </rPr>
      <t xml:space="preserve"> Street Date, Pre-order end date and Pre-order Amount </t>
    </r>
    <r>
      <rPr>
        <b/>
        <sz val="8"/>
        <color rgb="FF000000"/>
        <rFont val="Calibri"/>
        <family val="2"/>
        <scheme val="minor"/>
      </rPr>
      <t>must</t>
    </r>
    <r>
      <rPr>
        <sz val="8"/>
        <color rgb="FF000000"/>
        <rFont val="Calibri"/>
        <family val="2"/>
        <scheme val="minor"/>
      </rPr>
      <t xml:space="preserve"> be provided to enable Pre-Order transaction in-stores.</t>
    </r>
  </si>
  <si>
    <r>
      <rPr/>
      <t xml:space="preserve">If Pre-Order = </t>
    </r>
    <r>
      <rPr>
        <b/>
        <sz val="8"/>
        <color rgb="FF000000"/>
        <rFont val="Calibri"/>
        <family val="2"/>
        <scheme val="minor"/>
      </rPr>
      <t>Y</t>
    </r>
    <r>
      <rPr>
        <sz val="8"/>
        <color rgb="FF000000"/>
        <rFont val="Calibri"/>
        <family val="2"/>
        <scheme val="minor"/>
      </rPr>
      <t>, provide the Date when Pre-order transaction will end, else leave it blank.  Pre-order end date is normally the same date as Street Date</t>
    </r>
  </si>
  <si>
    <r>
      <rPr/>
      <t xml:space="preserve">If Pre-Order = </t>
    </r>
    <r>
      <rPr>
        <b/>
        <sz val="8"/>
        <color rgb="FF000000"/>
        <rFont val="Calibri"/>
        <family val="2"/>
        <scheme val="minor"/>
      </rPr>
      <t xml:space="preserve">Y, </t>
    </r>
    <r>
      <rPr>
        <sz val="8"/>
        <color rgb="FF000000"/>
        <rFont val="Calibri"/>
        <family val="2"/>
        <scheme val="minor"/>
      </rPr>
      <t>provide the pre-order amount, else, leave it blank</t>
    </r>
  </si>
  <si>
    <r>
      <rPr/>
      <t xml:space="preserve">Defaulted to </t>
    </r>
    <r>
      <rPr>
        <b/>
        <sz val="8"/>
        <color rgb="FF000000"/>
        <rFont val="Calibri"/>
        <family val="2"/>
        <scheme val="minor"/>
      </rPr>
      <t>N</t>
    </r>
    <r>
      <rPr>
        <sz val="8"/>
        <color rgb="FF000000"/>
        <rFont val="Calibri"/>
        <family val="2"/>
        <scheme val="minor"/>
      </rPr>
      <t>.  This attribute prompts at POS to scan the serial no. on the product.  Only few categories are allowed to prompt (ie Gaming console and as required by Vendor) for serial no. capture</t>
    </r>
  </si>
  <si>
    <r>
      <rPr/>
      <t xml:space="preserve">This attribute is required for Gaming console and Microsoft POSA only.  </t>
    </r>
    <r>
      <rPr>
        <b/>
        <sz val="8"/>
        <color rgb="FF000000"/>
        <rFont val="Calibri"/>
        <family val="2"/>
        <scheme val="minor"/>
      </rPr>
      <t>Select accordingly from the list.</t>
    </r>
    <r>
      <rPr>
        <sz val="8"/>
        <color rgb="FF000000"/>
        <rFont val="Calibri"/>
        <family val="2"/>
        <scheme val="minor"/>
      </rPr>
      <t xml:space="preserve"> If not applicable, leave it blank.  </t>
    </r>
  </si>
  <si>
    <r>
      <rPr/>
      <t xml:space="preserve">Values:  Y/N. Defaulted to </t>
    </r>
    <r>
      <rPr>
        <b/>
        <sz val="8"/>
        <color rgb="FF000000"/>
        <rFont val="Calibri"/>
        <family val="2"/>
        <scheme val="minor"/>
      </rPr>
      <t>N,</t>
    </r>
    <r>
      <rPr>
        <sz val="8"/>
        <color rgb="FF000000"/>
        <rFont val="Calibri"/>
        <family val="2"/>
        <scheme val="minor"/>
      </rPr>
      <t xml:space="preserve"> retail price can be discounted in stores. 
 If  change to </t>
    </r>
    <r>
      <rPr>
        <b/>
        <sz val="8"/>
        <color rgb="FF000000"/>
        <rFont val="Calibri"/>
        <family val="2"/>
        <scheme val="minor"/>
      </rPr>
      <t>Y</t>
    </r>
    <r>
      <rPr>
        <sz val="8"/>
        <color rgb="FF000000"/>
        <rFont val="Calibri"/>
        <family val="2"/>
        <scheme val="minor"/>
      </rPr>
      <t xml:space="preserve">,  retail price </t>
    </r>
    <r>
      <rPr>
        <b/>
        <i/>
        <sz val="8"/>
        <color rgb="FF000000"/>
        <rFont val="Calibri"/>
        <family val="2"/>
        <scheme val="minor"/>
      </rPr>
      <t>can not</t>
    </r>
    <r>
      <rPr>
        <sz val="8"/>
        <color rgb="FF000000"/>
        <rFont val="Calibri"/>
        <family val="2"/>
        <scheme val="minor"/>
      </rPr>
      <t xml:space="preserve"> be discounted </t>
    </r>
  </si>
  <si>
    <r>
      <rPr/>
      <t xml:space="preserve">Defaulted to </t>
    </r>
    <r>
      <rPr>
        <b/>
        <sz val="8"/>
        <color rgb="FF000000"/>
        <rFont val="Calibri"/>
        <family val="2"/>
        <scheme val="minor"/>
      </rPr>
      <t>Y</t>
    </r>
    <r>
      <rPr>
        <sz val="8"/>
        <color rgb="FF000000"/>
        <rFont val="Calibri"/>
        <family val="2"/>
        <scheme val="minor"/>
      </rPr>
      <t xml:space="preserve"> for Inventory item.</t>
    </r>
  </si>
  <si>
    <r>
      <rPr/>
      <t>If  “</t>
    </r>
    <r>
      <rPr>
        <b/>
        <sz val="8"/>
        <color rgb="FFFF0000"/>
        <rFont val="Calibri"/>
        <family val="2"/>
        <scheme val="minor"/>
      </rPr>
      <t>N</t>
    </r>
    <r>
      <rPr>
        <sz val="8"/>
        <color rgb="FF000000"/>
        <rFont val="Calibri"/>
        <family val="2"/>
        <scheme val="minor"/>
      </rPr>
      <t xml:space="preserve">”, BBYC assumes the NRCan Energy Efficiency Regulations do not apply to the product and the product is not regulated. BBYC merchant can purchase the product with no further requirements
If </t>
    </r>
    <r>
      <rPr>
        <b/>
        <sz val="8"/>
        <color rgb="FFFF0000"/>
        <rFont val="Calibri"/>
        <family val="2"/>
        <scheme val="minor"/>
      </rPr>
      <t>"Y"</t>
    </r>
    <r>
      <rPr>
        <sz val="8"/>
        <color rgb="FF000000"/>
        <rFont val="Calibri"/>
        <family val="2"/>
        <scheme val="minor"/>
      </rPr>
      <t xml:space="preserve">, ensure that  NRCAN Product Registration field is confirmed. 
</t>
    </r>
  </si>
  <si>
    <r>
      <rPr/>
      <t xml:space="preserve">  If “</t>
    </r>
    <r>
      <rPr>
        <b/>
        <sz val="8"/>
        <color rgb="FFFF0000"/>
        <rFont val="Calibri"/>
        <family val="2"/>
        <scheme val="minor"/>
      </rPr>
      <t>Y</t>
    </r>
    <r>
      <rPr>
        <sz val="8"/>
        <color rgb="FF000000"/>
        <rFont val="Calibri"/>
        <family val="2"/>
        <scheme val="minor"/>
      </rPr>
      <t xml:space="preserve">”, vendor confirms Energy Efficiency Regulations Apply and NRCan Product Registration was completed.
</t>
    </r>
    <r>
      <rPr>
        <sz val="8"/>
        <color rgb="FF000000"/>
        <rFont val="Calibri"/>
        <family val="2"/>
        <scheme val="minor"/>
      </rPr>
      <t xml:space="preserve">Note: BBYC merchant </t>
    </r>
    <r>
      <rPr>
        <u/>
        <sz val="8"/>
        <color rgb="FF000000"/>
        <rFont val="Calibri"/>
        <family val="2"/>
        <scheme val="minor"/>
      </rPr>
      <t>cannot</t>
    </r>
    <r>
      <rPr>
        <sz val="8"/>
        <color rgb="FF000000"/>
        <rFont val="Calibri"/>
        <family val="2"/>
        <scheme val="minor"/>
      </rPr>
      <t xml:space="preserve"> purchase the product if  ENERGY REGULATIONS APPLY = Y and NRCAN PRODUCT REGISTRATION = "N"  </t>
    </r>
    <r>
      <rPr>
        <sz val="8"/>
        <color rgb="FF000000"/>
        <rFont val="Calibri"/>
        <family val="2"/>
        <scheme val="minor"/>
      </rPr>
      <t xml:space="preserve">
</t>
    </r>
    <r>
      <rPr>
        <sz val="8"/>
        <color rgb="FF000000"/>
        <rFont val="Calibri"/>
        <family val="2"/>
        <scheme val="minor"/>
      </rPr>
      <t xml:space="preserve">
</t>
    </r>
  </si>
  <si>
    <r>
      <rPr/>
      <t xml:space="preserve">Enter </t>
    </r>
    <r>
      <rPr>
        <b/>
        <sz val="8"/>
        <color rgb="FF000000"/>
        <rFont val="Calibri"/>
        <family val="2"/>
        <scheme val="minor"/>
      </rPr>
      <t>Y</t>
    </r>
    <r>
      <rPr>
        <sz val="8"/>
        <color rgb="FF000000"/>
        <rFont val="Calibri"/>
        <family val="2"/>
        <scheme val="minor"/>
      </rPr>
      <t xml:space="preserve"> if the SKU is needed to be enabled with BEAST Order ID.  If not applicable, leave it blank. </t>
    </r>
  </si>
  <si>
    <r>
      <rPr/>
      <t>Minimum Order Quantity in Eaches/Units
(</t>
    </r>
    <r>
      <rPr>
        <b/>
        <sz val="8"/>
        <color theme="1"/>
        <rFont val="Calibri"/>
        <family val="2"/>
        <scheme val="minor"/>
      </rPr>
      <t>NOTE</t>
    </r>
    <r>
      <rPr>
        <sz val="8"/>
        <color theme="1"/>
        <rFont val="Calibri"/>
        <family val="2"/>
        <scheme val="minor"/>
      </rPr>
      <t xml:space="preserve">: This should only be populated for Exclusive Brands SKU)  </t>
    </r>
  </si>
  <si>
    <r>
      <rPr/>
      <t>Master Carton Dimensions - Length in cm 
(</t>
    </r>
    <r>
      <rPr>
        <b/>
        <sz val="8"/>
        <color theme="1"/>
        <rFont val="Calibri"/>
        <family val="2"/>
        <scheme val="minor"/>
      </rPr>
      <t>NOTE</t>
    </r>
    <r>
      <rPr>
        <sz val="8"/>
        <color theme="1"/>
        <rFont val="Calibri"/>
        <family val="2"/>
        <scheme val="minor"/>
      </rPr>
      <t>: This should only be populated for Exclusive Brands SKU)</t>
    </r>
  </si>
  <si>
    <r>
      <rPr/>
      <t>Master Carton Dimensions - Width in cm 
(</t>
    </r>
    <r>
      <rPr>
        <b/>
        <sz val="8"/>
        <color theme="1"/>
        <rFont val="Calibri"/>
        <family val="2"/>
        <scheme val="minor"/>
      </rPr>
      <t>NOTE</t>
    </r>
    <r>
      <rPr>
        <sz val="8"/>
        <color theme="1"/>
        <rFont val="Calibri"/>
        <family val="2"/>
        <scheme val="minor"/>
      </rPr>
      <t>: This should only be populated for Exclusive Brands SKU)</t>
    </r>
  </si>
  <si>
    <r>
      <rPr/>
      <t>Master Carton Dimensions - Height in cm 
(</t>
    </r>
    <r>
      <rPr>
        <b/>
        <sz val="8"/>
        <color theme="1"/>
        <rFont val="Calibri"/>
        <family val="2"/>
        <scheme val="minor"/>
      </rPr>
      <t>NOTE</t>
    </r>
    <r>
      <rPr>
        <sz val="8"/>
        <color theme="1"/>
        <rFont val="Calibri"/>
        <family val="2"/>
        <scheme val="minor"/>
      </rPr>
      <t>: This should only be populated for Exclusive Brands SKU)</t>
    </r>
  </si>
  <si>
    <r>
      <rPr/>
      <t>Master Carton Dimensions - Weight in kg 
(</t>
    </r>
    <r>
      <rPr>
        <b/>
        <sz val="8"/>
        <color theme="1"/>
        <rFont val="Calibri"/>
        <family val="2"/>
        <scheme val="minor"/>
      </rPr>
      <t>NOTE</t>
    </r>
    <r>
      <rPr>
        <sz val="8"/>
        <color theme="1"/>
        <rFont val="Calibri"/>
        <family val="2"/>
        <scheme val="minor"/>
      </rPr>
      <t>: This should only be populated for Exclusive Brands SKU)</t>
    </r>
  </si>
  <si>
    <r>
      <rPr/>
      <t>20 ft Container Quantity in Eaches/Units 
(</t>
    </r>
    <r>
      <rPr>
        <b/>
        <sz val="8"/>
        <color theme="1"/>
        <rFont val="Calibri"/>
        <family val="2"/>
        <scheme val="minor"/>
      </rPr>
      <t>NOTE</t>
    </r>
    <r>
      <rPr>
        <sz val="8"/>
        <color theme="1"/>
        <rFont val="Calibri"/>
        <family val="2"/>
        <scheme val="minor"/>
      </rPr>
      <t>: This should only be populated for Exclusive Brands SKU)</t>
    </r>
  </si>
  <si>
    <r>
      <rPr/>
      <t>40 ft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</si>
  <si>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40 ft High Cube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</si>
  <si>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45 ft NOR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</si>
  <si>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Lithium Manganese Dioxide(LiMnO2</t>
    </r>
    <r>
      <rPr>
        <sz val="11"/>
        <color rgb="FF003366"/>
        <rFont val="Calibri"/>
        <family val="2"/>
        <scheme val="minor"/>
      </rPr>
      <t>)</t>
    </r>
  </si>
  <si>
    <r>
      <rPr/>
      <t>PET</t>
    </r>
    <r>
      <rPr>
        <b/>
        <sz val="10"/>
        <color theme="1"/>
        <rFont val="Calibri"/>
        <family val="2"/>
        <scheme val="minor"/>
      </rPr>
      <t xml:space="preserve"> Bottles &amp; Jars</t>
    </r>
    <r>
      <rPr>
        <sz val="10"/>
        <color theme="1"/>
        <rFont val="Calibri"/>
        <family val="2"/>
        <scheme val="minor"/>
      </rPr>
      <t xml:space="preserve"> (only)</t>
    </r>
  </si>
  <si>
    <r>
      <rPr/>
      <t xml:space="preserve">HDPE </t>
    </r>
    <r>
      <rPr>
        <b/>
        <sz val="10"/>
        <color theme="1"/>
        <rFont val="Calibri"/>
        <family val="2"/>
        <scheme val="minor"/>
      </rPr>
      <t>Bottle, Jars &amp; Jugs</t>
    </r>
    <r>
      <rPr>
        <sz val="10"/>
        <color theme="1"/>
        <rFont val="Calibri"/>
        <family val="2"/>
        <scheme val="minor"/>
      </rPr>
      <t xml:space="preserve"> (only)</t>
    </r>
  </si>
  <si>
    <r>
      <rPr/>
      <t>BATTERIES SECTION</t>
    </r>
    <r>
      <rPr>
        <b/>
        <sz val="10"/>
        <color rgb="FFFF0000"/>
        <rFont val="Calibri"/>
        <family val="2"/>
        <scheme val="minor"/>
      </rPr>
      <t xml:space="preserve">
</t>
    </r>
  </si>
  <si>
    <r>
      <rPr/>
      <t xml:space="preserve">Additional information is </t>
    </r>
    <r>
      <rPr>
        <b/>
        <u/>
        <sz val="11"/>
        <color rgb="FF000000"/>
        <rFont val="Calibri"/>
        <family val="2"/>
        <scheme val="minor"/>
      </rPr>
      <t>required by law</t>
    </r>
    <r>
      <rPr>
        <sz val="11"/>
        <color rgb="FF000000"/>
        <rFont val="Calibri"/>
        <family val="2"/>
        <scheme val="minor"/>
      </rPr>
      <t xml:space="preserve"> for all product powered by lithium batteries or cells.  Please review the following policies on Best Buy’s Vendor Partner Portal for more information:
•	SKU Setup Policy and Guidelines – Canada
•	Transportation of Dangerous Goods - Canada
</t>
    </r>
    <r>
      <rPr>
        <b/>
        <sz val="11"/>
        <color rgb="FF000000"/>
        <rFont val="Calibri"/>
        <family val="2"/>
        <scheme val="minor"/>
      </rPr>
      <t>Action Required:</t>
    </r>
    <r>
      <rPr>
        <sz val="11"/>
        <color rgb="FF000000"/>
        <rFont val="Calibri"/>
        <family val="2"/>
        <scheme val="minor"/>
      </rPr>
      <t xml:space="preserve">  Vendors must submit one of each of SDS and TS documents for lithium batteries, saved as separate files; or a combined SDS and TS document as one file. 
Net weight of individual lithium batteries is required in order to comply with air transport regulations which limit the total weight of lithium batteries for air shipments. 
When Regular battery (ie Alkaline or Silver Oxide based) is selected, only Size/Format and Quantity are required to be provided.</t>
    </r>
  </si>
  <si>
    <r>
      <rPr/>
      <t xml:space="preserve">1 - # Lithium Content (Primary) </t>
    </r>
    <r>
      <rPr>
        <b/>
        <sz val="10"/>
        <color rgb="FFFF0000"/>
        <rFont val="Calibri"/>
        <family val="2"/>
        <scheme val="minor"/>
      </rPr>
      <t>(grams)</t>
    </r>
  </si>
  <si>
    <r>
      <rPr/>
      <t xml:space="preserve">1 - Individual Li Battery Net Weight </t>
    </r>
    <r>
      <rPr>
        <b/>
        <sz val="10"/>
        <color rgb="FFFF0000"/>
        <rFont val="Calibri"/>
        <family val="2"/>
        <scheme val="minor"/>
      </rPr>
      <t>(kg)</t>
    </r>
  </si>
  <si>
    <r>
      <rPr/>
      <t xml:space="preserve">2 - # Lithium Content (Primary) </t>
    </r>
    <r>
      <rPr>
        <b/>
        <sz val="10"/>
        <color rgb="FFFF0000"/>
        <rFont val="Calibri"/>
        <family val="2"/>
        <scheme val="minor"/>
      </rPr>
      <t>(grams)</t>
    </r>
  </si>
  <si>
    <r>
      <rPr/>
      <t xml:space="preserve">2 - Individual Li Battery Net Weight </t>
    </r>
    <r>
      <rPr>
        <b/>
        <sz val="10"/>
        <color rgb="FFFF0000"/>
        <rFont val="Calibri"/>
        <family val="2"/>
        <scheme val="minor"/>
      </rPr>
      <t>(kg)</t>
    </r>
  </si>
  <si>
    <r>
      <rPr/>
      <t xml:space="preserve">3 - # Lithium Content (Primary) </t>
    </r>
    <r>
      <rPr>
        <b/>
        <sz val="10"/>
        <color rgb="FFFF0000"/>
        <rFont val="Calibri"/>
        <family val="2"/>
        <scheme val="minor"/>
      </rPr>
      <t>(grams)</t>
    </r>
  </si>
  <si>
    <r>
      <rPr/>
      <t xml:space="preserve">3 - Individual Li Battery Net Weight </t>
    </r>
    <r>
      <rPr>
        <b/>
        <sz val="10"/>
        <color rgb="FFFF0000"/>
        <rFont val="Calibri"/>
        <family val="2"/>
        <scheme val="minor"/>
      </rPr>
      <t>(kg)</t>
    </r>
  </si>
  <si>
    <r>
      <rPr/>
      <t xml:space="preserve">4 - # Lithium Content (Primary) </t>
    </r>
    <r>
      <rPr>
        <b/>
        <sz val="10"/>
        <color rgb="FFFF0000"/>
        <rFont val="Calibri"/>
        <family val="2"/>
        <scheme val="minor"/>
      </rPr>
      <t>(grams)</t>
    </r>
  </si>
  <si>
    <r>
      <rPr/>
      <t xml:space="preserve">4 - Individual Li Battery Net Weight </t>
    </r>
    <r>
      <rPr>
        <b/>
        <sz val="10"/>
        <color rgb="FFFF0000"/>
        <rFont val="Calibri"/>
        <family val="2"/>
        <scheme val="minor"/>
      </rPr>
      <t>(kg)</t>
    </r>
  </si>
  <si>
    <r>
      <rPr/>
      <t>Qty (</t>
    </r>
    <r>
      <rPr>
        <b/>
        <sz val="10"/>
        <color rgb="FF000000"/>
        <rFont val="Calibri"/>
        <family val="2"/>
        <scheme val="minor"/>
      </rPr>
      <t>Liters</t>
    </r>
    <r>
      <rPr>
        <sz val="10"/>
        <color rgb="FF000000"/>
        <rFont val="Calibri"/>
        <family val="2"/>
        <scheme val="minor"/>
      </rPr>
      <t xml:space="preserve"> for Aerosol, Gas or Liquid </t>
    </r>
    <r>
      <rPr>
        <b/>
        <sz val="10"/>
        <color rgb="FF000000"/>
        <rFont val="Calibri"/>
        <family val="2"/>
        <scheme val="minor"/>
      </rPr>
      <t xml:space="preserve">KG </t>
    </r>
    <r>
      <rPr>
        <sz val="10"/>
        <color rgb="FF000000"/>
        <rFont val="Calibri"/>
        <family val="2"/>
        <scheme val="minor"/>
      </rPr>
      <t>for Solid)</t>
    </r>
  </si>
  <si>
    <r>
      <rPr/>
      <t>If you have to paste values from other files, please remove special characters that may cause failure during data upload into our system. You can use (/) (;)as separators instead of (,).     (</t>
    </r>
    <r>
      <rPr>
        <b/>
        <sz val="11"/>
        <color rgb="FFFF0000"/>
        <rFont val="Cambria"/>
        <family val="1"/>
        <scheme val="major"/>
      </rPr>
      <t>"</t>
    </r>
    <r>
      <rPr>
        <sz val="11"/>
        <color rgb="FF333399"/>
        <rFont val="Cambria"/>
        <family val="1"/>
        <scheme val="major"/>
      </rPr>
      <t>)(</t>
    </r>
    <r>
      <rPr>
        <b/>
        <sz val="11"/>
        <color rgb="FFFF0000"/>
        <rFont val="Cambria"/>
        <family val="1"/>
        <scheme val="major"/>
      </rPr>
      <t>'</t>
    </r>
    <r>
      <rPr>
        <sz val="11"/>
        <color rgb="FF333399"/>
        <rFont val="Cambria"/>
        <family val="1"/>
        <scheme val="major"/>
      </rPr>
      <t>) or open "</t>
    </r>
    <r>
      <rPr>
        <b/>
        <sz val="11"/>
        <color rgb="FFFF0000"/>
        <rFont val="Cambria"/>
        <family val="1"/>
        <scheme val="major"/>
      </rPr>
      <t>(</t>
    </r>
    <r>
      <rPr>
        <sz val="11"/>
        <color rgb="FF333399"/>
        <rFont val="Cambria"/>
        <family val="1"/>
        <scheme val="major"/>
      </rPr>
      <t>" and close "</t>
    </r>
    <r>
      <rPr>
        <b/>
        <sz val="11"/>
        <color rgb="FFFF0000"/>
        <rFont val="Cambria"/>
        <family val="1"/>
        <scheme val="major"/>
      </rPr>
      <t>)</t>
    </r>
    <r>
      <rPr>
        <sz val="11"/>
        <color rgb="FF333399"/>
        <rFont val="Cambria"/>
        <family val="1"/>
        <scheme val="major"/>
      </rPr>
      <t>" brackets should also be avoided.</t>
    </r>
  </si>
  <si>
    <r>
      <rPr/>
      <t xml:space="preserve">The input area of the set-up sheet tab is conditionally formatted - yellow while blank and changes to No Color when value is entered - for easy visibility of blank fields.  Most attributes require input value but some attributes can be null/blank, please refer to </t>
    </r>
    <r>
      <rPr>
        <b/>
        <i/>
        <sz val="11"/>
        <color rgb="FF333399"/>
        <rFont val="Cambria"/>
        <family val="1"/>
        <scheme val="major"/>
      </rPr>
      <t>Expected Values/Explanations</t>
    </r>
    <r>
      <rPr>
        <sz val="11"/>
        <color rgb="FF333399"/>
        <rFont val="Cambria"/>
        <family val="1"/>
        <scheme val="major"/>
      </rPr>
      <t xml:space="preserve"> section for descriptions and value options for each attributes.</t>
    </r>
  </si>
  <si>
    <r>
      <rPr/>
      <t xml:space="preserve"> * For Inventory set-up via Mercury, please follow steps posted in CSG Wiki.  Select appropriate vendor code, department and product content category.  Mercury will generate 2 Forms.   
              1) BBYC Setup Form - contains product information required by BBYC system and the form is autopopulated with reverse/service defaults 
              2) SMART Sheet - this contains product specifications and other online requirements
* Email both forms to Vendor.  
* Upon receipt of the completed forms from Vendor, review if all details are complete to avoid processing delay.  At the same time, ensure that image source is provided by Vendor on BBYC Set-up Form and SMART Sheet
* Email the completed forms to:  </t>
    </r>
    <r>
      <rPr>
        <sz val="11"/>
        <color rgb="FFFF0000"/>
        <rFont val="Cambria"/>
        <family val="1"/>
        <scheme val="major"/>
      </rPr>
      <t xml:space="preserve">supportoffice_MSO@bestbuycanada.ca.   
</t>
    </r>
    <r>
      <rPr>
        <b/>
        <sz val="12"/>
        <color rgb="FF00CCFF"/>
        <rFont val="Cambria"/>
        <family val="1"/>
        <scheme val="major"/>
      </rPr>
      <t xml:space="preserve">Note: </t>
    </r>
    <r>
      <rPr>
        <sz val="11"/>
        <color rgb="FF000080"/>
        <rFont val="Cambria"/>
        <family val="1"/>
        <scheme val="major"/>
      </rPr>
      <t xml:space="preserve"> ALWAYS! send 2 forms. BBYC Setup sheet and SMART Sheet will be validated at time of submission to ensure that same UPC and model# matches on both sheets.  If not, request will be returned.</t>
    </r>
    <r>
      <rPr>
        <sz val="11"/>
        <color rgb="FFFF0000"/>
        <rFont val="Cambria"/>
        <family val="1"/>
        <scheme val="major"/>
      </rPr>
      <t xml:space="preserve">
</t>
    </r>
    <r>
      <rPr>
        <sz val="11"/>
        <rFont val="Cambria"/>
        <family val="1"/>
        <scheme val="major"/>
      </rPr>
      <t>*</t>
    </r>
    <r>
      <rPr>
        <sz val="11"/>
        <color rgb="FF003366"/>
        <rFont val="Cambria"/>
        <family val="1"/>
        <scheme val="major"/>
      </rPr>
      <t xml:space="preserve"> If submitted forms passed the validations and completed, SKU# can be queried by searching the UPC in RMS or MERCURY the next day (no confirmation email will be sent).   </t>
    </r>
  </si>
  <si>
    <r>
      <rPr/>
      <t xml:space="preserve">* Select proper options and complete details.  
* Email the completed form to:  </t>
    </r>
    <r>
      <rPr>
        <sz val="11"/>
        <color rgb="FFFF0000"/>
        <rFont val="Cambria"/>
        <family val="1"/>
        <scheme val="major"/>
      </rPr>
      <t xml:space="preserve">supportoffice_MSO@bestbuycanada.ca  </t>
    </r>
  </si>
  <si>
    <t xml:space="preserve">  "name": "portal",</t>
  </si>
  <si>
    <t xml:space="preserve">  "type": "module",</t>
  </si>
  <si>
    <t xml:space="preserve">123456789123</t>
  </si>
  <si>
    <r>
      <rPr/>
      <t xml:space="preserve">8 OR 12 OR 13 Digits/Number. Acceptable UPC TYPE: UPC-E, UPC-A and EAN13.  Not mandatory for Non_Inventory products. </t>
    </r>
    <r>
      <rPr>
        <b/>
        <sz val="8"/>
        <color rgb="FF000000"/>
        <rFont val="Calibri"/>
        <family val="2"/>
        <scheme val="minor"/>
      </rPr>
      <t>DO NOT PROVIDE IF NOT NECESSARY</t>
    </r>
  </si>
  <si>
    <r>
      <rPr/>
      <t xml:space="preserve">Upto 20 characters. </t>
    </r>
    <r>
      <rPr>
        <b/>
        <sz val="8"/>
        <color rgb="FF000000"/>
        <rFont val="Calibri"/>
        <family val="2"/>
        <scheme val="minor"/>
      </rPr>
      <t>Note:</t>
    </r>
    <r>
      <rPr>
        <sz val="8"/>
        <color rgb="FF000000"/>
        <rFont val="Calibri"/>
        <family val="2"/>
        <scheme val="minor"/>
      </rPr>
      <t xml:space="preserve"> New Brand name requires LOGO approval from Ecom ImageTeam upon set-up submission. </t>
    </r>
  </si>
  <si>
    <t xml:space="preserve">    "dev": "astro dev",</t>
  </si>
  <si>
    <r>
      <rPr/>
      <t xml:space="preserve">Model number or name of the product (Up to </t>
    </r>
    <r>
      <rPr>
        <b/>
        <sz val="8"/>
        <color rgb="FF000000"/>
        <rFont val="Calibri"/>
        <family val="2"/>
        <scheme val="minor"/>
      </rPr>
      <t>20 char</t>
    </r>
    <r>
      <rPr>
        <sz val="8"/>
        <color rgb="FF000000"/>
        <rFont val="Calibri"/>
        <family val="2"/>
        <scheme val="minor"/>
      </rPr>
      <t>)</t>
    </r>
  </si>
  <si>
    <t xml:space="preserve">    "start": "astro dev",</t>
  </si>
  <si>
    <t xml:space="preserve">    "build": "astro check &amp;&amp; astro build",</t>
  </si>
  <si>
    <r>
      <rPr/>
      <t xml:space="preserve">Supplier/Vendor code no. entered here will be the primary supplier in RMS system. 
</t>
    </r>
    <r>
      <rPr>
        <b/>
        <sz val="8"/>
        <color rgb="FF000000"/>
        <rFont val="Calibri"/>
        <family val="2"/>
        <scheme val="minor"/>
      </rPr>
      <t>Note:</t>
    </r>
    <r>
      <rPr>
        <sz val="8"/>
        <color rgb="FF000000"/>
        <rFont val="Calibri"/>
        <family val="2"/>
        <scheme val="minor"/>
      </rPr>
      <t xml:space="preserve">  Additional vendor codes are available, pls ensure that appropriate cost are also given. 
 For non-inventory set-up with no specific supplier, use #2200 (if sku is returnable) or use 79567 (if sku is non_returnable)</t>
    </r>
  </si>
  <si>
    <t xml:space="preserve">{</t>
  </si>
  <si>
    <r>
      <rPr/>
      <t xml:space="preserve">Buying price from vendor.  </t>
    </r>
    <r>
      <rPr>
        <b/>
        <sz val="8"/>
        <rFont val="Calibri"/>
        <family val="2"/>
        <scheme val="minor"/>
      </rPr>
      <t xml:space="preserve">Note: </t>
    </r>
    <r>
      <rPr>
        <sz val="8"/>
        <color rgb="FF000000"/>
        <rFont val="Calibri"/>
        <family val="2"/>
        <scheme val="minor"/>
      </rPr>
      <t xml:space="preserve"> for set-up with multiple vendor codes, this will be considered as the cost for the primary vendor code. For non_inventory Service skus, cost = 43% of retail price.  </t>
    </r>
  </si>
  <si>
    <r>
      <rPr/>
      <t xml:space="preserve">Values:  Y/N.  If </t>
    </r>
    <r>
      <rPr>
        <b/>
        <sz val="8"/>
        <color rgb="FFFF0000"/>
        <rFont val="Calibri"/>
        <family val="2"/>
        <scheme val="minor"/>
      </rPr>
      <t>N</t>
    </r>
    <r>
      <rPr>
        <sz val="8"/>
        <color rgb="FF000000"/>
        <rFont val="Calibri"/>
        <family val="2"/>
        <scheme val="minor"/>
      </rPr>
      <t xml:space="preserve"> (non_French compliant), ensure to indicate ENG (for English only)  at the end of the long description.    In general, Non-French compliant product can be sold online but cannot be shipped to Quebec locations.  If this product can be shipped to Quebec, it is mandatory to provide value on </t>
    </r>
    <r>
      <rPr>
        <sz val="8"/>
        <color rgb="FFFF0000"/>
        <rFont val="Calibri"/>
        <family val="2"/>
        <scheme val="minor"/>
      </rPr>
      <t xml:space="preserve">Shippable to Quebec (#167) </t>
    </r>
    <r>
      <rPr>
        <sz val="8"/>
        <color rgb="FF000000"/>
        <rFont val="Calibri"/>
        <family val="2"/>
        <scheme val="minor"/>
      </rPr>
      <t>field below.Non-French compliant item set-up requires VP approval.</t>
    </r>
  </si>
  <si>
    <r>
      <rPr/>
      <t xml:space="preserve">If refurbished product, select/enter  Y_1 on drop-down, else leave it blank. Please ensure to </t>
    </r>
    <r>
      <rPr>
        <b/>
        <u/>
        <sz val="8"/>
        <color rgb="FF000000"/>
        <rFont val="Calibri"/>
        <family val="2"/>
        <scheme val="minor"/>
      </rPr>
      <t>indicate REF</t>
    </r>
    <r>
      <rPr>
        <sz val="8"/>
        <color rgb="FF000000"/>
        <rFont val="Calibri"/>
        <family val="2"/>
        <scheme val="minor"/>
      </rPr>
      <t xml:space="preserve"> at the end of long description</t>
    </r>
  </si>
  <si>
    <r>
      <rPr/>
      <t xml:space="preserve">For </t>
    </r>
    <r>
      <rPr>
        <b/>
        <u/>
        <sz val="8"/>
        <color rgb="FF000000"/>
        <rFont val="Calibri"/>
        <family val="2"/>
        <scheme val="minor"/>
      </rPr>
      <t xml:space="preserve">Confidential </t>
    </r>
    <r>
      <rPr>
        <sz val="8"/>
        <color rgb="FF000000"/>
        <rFont val="Calibri"/>
        <family val="2"/>
        <scheme val="minor"/>
      </rPr>
      <t xml:space="preserve"> set-up.  The date indicates that decriptions and related attributes are superficial until product is publicly announced </t>
    </r>
  </si>
  <si>
    <r>
      <rPr/>
      <t xml:space="preserve">If product is French compliant, leave this blank.  
If product is </t>
    </r>
    <r>
      <rPr>
        <sz val="8"/>
        <color rgb="FF000000"/>
        <rFont val="Calibri"/>
        <family val="2"/>
        <scheme val="minor"/>
      </rPr>
      <t xml:space="preserve">non-French Compliant that can be sold online and can be shipped to Quebec,  select </t>
    </r>
    <r>
      <rPr>
        <b/>
        <sz val="8"/>
        <color rgb="FF000000"/>
        <rFont val="Calibri"/>
        <family val="2"/>
        <scheme val="minor"/>
      </rPr>
      <t xml:space="preserve">Y </t>
    </r>
    <r>
      <rPr>
        <sz val="8"/>
        <color rgb="FF000000"/>
        <rFont val="Calibri"/>
        <family val="2"/>
        <scheme val="minor"/>
      </rPr>
      <t>on dropdown</t>
    </r>
    <r>
      <rPr>
        <b/>
        <sz val="8"/>
        <color rgb="FF000000"/>
        <rFont val="Calibri"/>
        <family val="2"/>
        <scheme val="minor"/>
      </rPr>
      <t xml:space="preserve">
I</t>
    </r>
    <r>
      <rPr>
        <sz val="8"/>
        <color rgb="FF000000"/>
        <rFont val="Calibri"/>
        <family val="2"/>
        <scheme val="minor"/>
      </rPr>
      <t xml:space="preserve">f product is non_French Compliant that can be sold but </t>
    </r>
    <r>
      <rPr>
        <b/>
        <sz val="8"/>
        <color rgb="FF000000"/>
        <rFont val="Calibri"/>
        <family val="2"/>
        <scheme val="minor"/>
      </rPr>
      <t>cannot be shipped</t>
    </r>
    <r>
      <rPr>
        <sz val="8"/>
        <color rgb="FF000000"/>
        <rFont val="Calibri"/>
        <family val="2"/>
        <scheme val="minor"/>
      </rPr>
      <t xml:space="preserve"> to Quebec, select </t>
    </r>
    <r>
      <rPr>
        <b/>
        <sz val="8"/>
        <color rgb="FF000000"/>
        <rFont val="Calibri"/>
        <family val="2"/>
        <scheme val="minor"/>
      </rPr>
      <t xml:space="preserve">N </t>
    </r>
    <r>
      <rPr>
        <sz val="8"/>
        <color rgb="FF000000"/>
        <rFont val="Calibri"/>
        <family val="2"/>
        <scheme val="minor"/>
      </rPr>
      <t>on dropdown</t>
    </r>
  </si>
  <si>
    <r>
      <rPr/>
      <t xml:space="preserve"> Is this product considered to be dangerous or does it contain dangerous materials?</t>
    </r>
    <r>
      <rPr>
        <b/>
        <sz val="8"/>
        <color rgb="FF000000"/>
        <rFont val="Calibri"/>
        <family val="2"/>
        <scheme val="minor"/>
      </rPr>
      <t xml:space="preserve">  Y/N.   </t>
    </r>
    <r>
      <rPr>
        <sz val="8"/>
        <color rgb="FF000000"/>
        <rFont val="Calibri"/>
        <family val="2"/>
        <scheme val="minor"/>
      </rPr>
      <t>If "</t>
    </r>
    <r>
      <rPr>
        <b/>
        <sz val="8"/>
        <color rgb="FF000000"/>
        <rFont val="Calibri"/>
        <family val="2"/>
        <scheme val="minor"/>
      </rPr>
      <t>Y</t>
    </r>
    <r>
      <rPr>
        <sz val="8"/>
        <color rgb="FF000000"/>
        <rFont val="Calibri"/>
        <family val="2"/>
        <scheme val="minor"/>
      </rPr>
      <t>", ensure to provide MSDS Form along with  Item Setup and Smart Sheets.
For Batteries, provide additional details in the Battery section of the Product Compliance tab.</t>
    </r>
  </si>
  <si>
    <r>
      <rPr/>
      <t>Type of product to be set-up, ie:</t>
    </r>
    <r>
      <rPr>
        <b/>
        <sz val="8"/>
        <color rgb="FF000000"/>
        <rFont val="Calibri"/>
        <family val="2"/>
        <scheme val="minor"/>
      </rPr>
      <t xml:space="preserve"> </t>
    </r>
    <r>
      <rPr>
        <sz val="8"/>
        <color rgb="FF000000"/>
        <rFont val="Calibri"/>
        <family val="2"/>
        <scheme val="minor"/>
      </rPr>
      <t xml:space="preserve"> White Goods, Regular, Entertainment.  
If WG, ensure to flag Deliverable to Y.
For TV, 52" &amp; below = Regular (Brown Goods), 53" &amp; up = White Goods
</t>
    </r>
  </si>
  <si>
    <r>
      <rPr/>
      <t xml:space="preserve">For Countries who have signed Free Trade Agreements (FTA) with each other, customs duties for selected imported goods that originate from the partner countries are lower or totally eliminated. 
</t>
    </r>
    <r>
      <rPr>
        <b/>
        <sz val="8"/>
        <color rgb="FF000000"/>
        <rFont val="Calibri"/>
        <family val="2"/>
        <scheme val="minor"/>
      </rPr>
      <t xml:space="preserve">Select applicable tariff from the list </t>
    </r>
  </si>
  <si>
    <r>
      <rPr/>
      <t xml:space="preserve">Defaulted to </t>
    </r>
    <r>
      <rPr>
        <b/>
        <sz val="8"/>
        <color rgb="FF000000"/>
        <rFont val="Calibri"/>
        <family val="2"/>
        <scheme val="minor"/>
      </rPr>
      <t>N.  If</t>
    </r>
    <r>
      <rPr>
        <sz val="8"/>
        <color rgb="FF000000"/>
        <rFont val="Calibri"/>
        <family val="2"/>
        <scheme val="minor"/>
      </rPr>
      <t xml:space="preserve"> change to </t>
    </r>
    <r>
      <rPr>
        <b/>
        <sz val="8"/>
        <color rgb="FF000000"/>
        <rFont val="Calibri"/>
        <family val="2"/>
        <scheme val="minor"/>
      </rPr>
      <t>Y--</t>
    </r>
    <r>
      <rPr>
        <sz val="8"/>
        <color rgb="FF000000"/>
        <rFont val="Calibri"/>
        <family val="2"/>
        <scheme val="minor"/>
      </rPr>
      <t xml:space="preserve"> Street Date, Pre-order end date and Pre-order Amount </t>
    </r>
    <r>
      <rPr>
        <b/>
        <sz val="8"/>
        <color rgb="FF000000"/>
        <rFont val="Calibri"/>
        <family val="2"/>
        <scheme val="minor"/>
      </rPr>
      <t>must</t>
    </r>
    <r>
      <rPr>
        <sz val="8"/>
        <color rgb="FF000000"/>
        <rFont val="Calibri"/>
        <family val="2"/>
        <scheme val="minor"/>
      </rPr>
      <t xml:space="preserve"> be provided to enable Pre-Order transaction in-stores.</t>
    </r>
  </si>
  <si>
    <r>
      <rPr/>
      <t xml:space="preserve">If Pre-Order = </t>
    </r>
    <r>
      <rPr>
        <b/>
        <sz val="8"/>
        <color rgb="FF000000"/>
        <rFont val="Calibri"/>
        <family val="2"/>
        <scheme val="minor"/>
      </rPr>
      <t>Y</t>
    </r>
    <r>
      <rPr>
        <sz val="8"/>
        <color rgb="FF000000"/>
        <rFont val="Calibri"/>
        <family val="2"/>
        <scheme val="minor"/>
      </rPr>
      <t>, provide the Date when Pre-order transaction will end, else leave it blank.  Pre-order end date is normally the same date as Street Date</t>
    </r>
  </si>
  <si>
    <r>
      <rPr/>
      <t xml:space="preserve">If Pre-Order = </t>
    </r>
    <r>
      <rPr>
        <b/>
        <sz val="8"/>
        <color rgb="FF000000"/>
        <rFont val="Calibri"/>
        <family val="2"/>
        <scheme val="minor"/>
      </rPr>
      <t xml:space="preserve">Y, </t>
    </r>
    <r>
      <rPr>
        <sz val="8"/>
        <color rgb="FF000000"/>
        <rFont val="Calibri"/>
        <family val="2"/>
        <scheme val="minor"/>
      </rPr>
      <t>provide the pre-order amount, else, leave it blank</t>
    </r>
  </si>
  <si>
    <r>
      <rPr/>
      <t xml:space="preserve">Defaulted to </t>
    </r>
    <r>
      <rPr>
        <b/>
        <sz val="8"/>
        <color rgb="FF000000"/>
        <rFont val="Calibri"/>
        <family val="2"/>
        <scheme val="minor"/>
      </rPr>
      <t>N</t>
    </r>
    <r>
      <rPr>
        <sz val="8"/>
        <color rgb="FF000000"/>
        <rFont val="Calibri"/>
        <family val="2"/>
        <scheme val="minor"/>
      </rPr>
      <t>.  This attribute prompts at POS to scan the serial no. on the product.  Only few categories are allowed to prompt (ie Gaming console and as required by Vendor) for serial no. capture</t>
    </r>
  </si>
  <si>
    <r>
      <rPr/>
      <t xml:space="preserve">This attribute is required for Gaming console and Microsoft POSA only.  </t>
    </r>
    <r>
      <rPr>
        <b/>
        <sz val="8"/>
        <color rgb="FF000000"/>
        <rFont val="Calibri"/>
        <family val="2"/>
        <scheme val="minor"/>
      </rPr>
      <t>Select accordingly from the list.</t>
    </r>
    <r>
      <rPr>
        <sz val="8"/>
        <color rgb="FF000000"/>
        <rFont val="Calibri"/>
        <family val="2"/>
        <scheme val="minor"/>
      </rPr>
      <t xml:space="preserve"> If not applicable, leave it blank.  </t>
    </r>
  </si>
  <si>
    <r>
      <rPr/>
      <t xml:space="preserve">Values:  Y/N. Defaulted to </t>
    </r>
    <r>
      <rPr>
        <b/>
        <sz val="8"/>
        <color rgb="FF000000"/>
        <rFont val="Calibri"/>
        <family val="2"/>
        <scheme val="minor"/>
      </rPr>
      <t>N,</t>
    </r>
    <r>
      <rPr>
        <sz val="8"/>
        <color rgb="FF000000"/>
        <rFont val="Calibri"/>
        <family val="2"/>
        <scheme val="minor"/>
      </rPr>
      <t xml:space="preserve"> retail price can be discounted in stores. 
 If  change to </t>
    </r>
    <r>
      <rPr>
        <b/>
        <sz val="8"/>
        <color rgb="FF000000"/>
        <rFont val="Calibri"/>
        <family val="2"/>
        <scheme val="minor"/>
      </rPr>
      <t>Y</t>
    </r>
    <r>
      <rPr>
        <sz val="8"/>
        <color rgb="FF000000"/>
        <rFont val="Calibri"/>
        <family val="2"/>
        <scheme val="minor"/>
      </rPr>
      <t xml:space="preserve">,  retail price </t>
    </r>
    <r>
      <rPr>
        <b/>
        <i/>
        <sz val="8"/>
        <color rgb="FF000000"/>
        <rFont val="Calibri"/>
        <family val="2"/>
        <scheme val="minor"/>
      </rPr>
      <t>can not</t>
    </r>
    <r>
      <rPr>
        <sz val="8"/>
        <color rgb="FF000000"/>
        <rFont val="Calibri"/>
        <family val="2"/>
        <scheme val="minor"/>
      </rPr>
      <t xml:space="preserve"> be discounted </t>
    </r>
  </si>
  <si>
    <r>
      <rPr/>
      <t xml:space="preserve">Defaulted to </t>
    </r>
    <r>
      <rPr>
        <b/>
        <sz val="8"/>
        <color rgb="FF000000"/>
        <rFont val="Calibri"/>
        <family val="2"/>
        <scheme val="minor"/>
      </rPr>
      <t>Y</t>
    </r>
    <r>
      <rPr>
        <sz val="8"/>
        <color rgb="FF000000"/>
        <rFont val="Calibri"/>
        <family val="2"/>
        <scheme val="minor"/>
      </rPr>
      <t xml:space="preserve"> for Inventory item.</t>
    </r>
  </si>
  <si>
    <r>
      <rPr/>
      <t>If  “</t>
    </r>
    <r>
      <rPr>
        <b/>
        <sz val="8"/>
        <color rgb="FFFF0000"/>
        <rFont val="Calibri"/>
        <family val="2"/>
        <scheme val="minor"/>
      </rPr>
      <t>N</t>
    </r>
    <r>
      <rPr>
        <sz val="8"/>
        <color rgb="FF000000"/>
        <rFont val="Calibri"/>
        <family val="2"/>
        <scheme val="minor"/>
      </rPr>
      <t xml:space="preserve">”, BBYC assumes the NRCan Energy Efficiency Regulations do not apply to the product and the product is not regulated. BBYC merchant can purchase the product with no further requirements
If </t>
    </r>
    <r>
      <rPr>
        <b/>
        <sz val="8"/>
        <color rgb="FFFF0000"/>
        <rFont val="Calibri"/>
        <family val="2"/>
        <scheme val="minor"/>
      </rPr>
      <t>"Y"</t>
    </r>
    <r>
      <rPr>
        <sz val="8"/>
        <color rgb="FF000000"/>
        <rFont val="Calibri"/>
        <family val="2"/>
        <scheme val="minor"/>
      </rPr>
      <t xml:space="preserve">, ensure that  NRCAN Product Registration field is confirmed. 
</t>
    </r>
  </si>
  <si>
    <r>
      <rPr/>
      <t xml:space="preserve">  If “</t>
    </r>
    <r>
      <rPr>
        <b/>
        <sz val="8"/>
        <color rgb="FFFF0000"/>
        <rFont val="Calibri"/>
        <family val="2"/>
        <scheme val="minor"/>
      </rPr>
      <t>Y</t>
    </r>
    <r>
      <rPr>
        <sz val="8"/>
        <color rgb="FF000000"/>
        <rFont val="Calibri"/>
        <family val="2"/>
        <scheme val="minor"/>
      </rPr>
      <t xml:space="preserve">”, vendor confirms Energy Efficiency Regulations Apply and NRCan Product Registration was completed.
</t>
    </r>
    <r>
      <rPr>
        <sz val="8"/>
        <color rgb="FF000000"/>
        <rFont val="Calibri"/>
        <family val="2"/>
        <scheme val="minor"/>
      </rPr>
      <t xml:space="preserve">Note: BBYC merchant </t>
    </r>
    <r>
      <rPr>
        <u/>
        <sz val="8"/>
        <color rgb="FF000000"/>
        <rFont val="Calibri"/>
        <family val="2"/>
        <scheme val="minor"/>
      </rPr>
      <t>cannot</t>
    </r>
    <r>
      <rPr>
        <sz val="8"/>
        <color rgb="FF000000"/>
        <rFont val="Calibri"/>
        <family val="2"/>
        <scheme val="minor"/>
      </rPr>
      <t xml:space="preserve"> purchase the product if  ENERGY REGULATIONS APPLY = Y and NRCAN PRODUCT REGISTRATION = "N"  </t>
    </r>
    <r>
      <rPr>
        <sz val="8"/>
        <color rgb="FF000000"/>
        <rFont val="Calibri"/>
        <family val="2"/>
        <scheme val="minor"/>
      </rPr>
      <t xml:space="preserve">
</t>
    </r>
    <r>
      <rPr>
        <sz val="8"/>
        <color rgb="FF000000"/>
        <rFont val="Calibri"/>
        <family val="2"/>
        <scheme val="minor"/>
      </rPr>
      <t xml:space="preserve">
</t>
    </r>
  </si>
  <si>
    <r>
      <rPr/>
      <t xml:space="preserve">Enter </t>
    </r>
    <r>
      <rPr>
        <b/>
        <sz val="8"/>
        <color rgb="FF000000"/>
        <rFont val="Calibri"/>
        <family val="2"/>
        <scheme val="minor"/>
      </rPr>
      <t>Y</t>
    </r>
    <r>
      <rPr>
        <sz val="8"/>
        <color rgb="FF000000"/>
        <rFont val="Calibri"/>
        <family val="2"/>
        <scheme val="minor"/>
      </rPr>
      <t xml:space="preserve"> if the SKU is needed to be enabled with BEAST Order ID.  If not applicable, leave it blank. </t>
    </r>
  </si>
  <si>
    <r>
      <rPr/>
      <t>Minimum Order Quantity in Eaches/Units
(</t>
    </r>
    <r>
      <rPr>
        <b/>
        <sz val="8"/>
        <color theme="1"/>
        <rFont val="Calibri"/>
        <family val="2"/>
        <scheme val="minor"/>
      </rPr>
      <t>NOTE</t>
    </r>
    <r>
      <rPr>
        <sz val="8"/>
        <color theme="1"/>
        <rFont val="Calibri"/>
        <family val="2"/>
        <scheme val="minor"/>
      </rPr>
      <t xml:space="preserve">: This should only be populated for Exclusive Brands SKU)  </t>
    </r>
  </si>
  <si>
    <r>
      <rPr/>
      <t>Master Carton Dimensions - Length in cm 
(</t>
    </r>
    <r>
      <rPr>
        <b/>
        <sz val="8"/>
        <color theme="1"/>
        <rFont val="Calibri"/>
        <family val="2"/>
        <scheme val="minor"/>
      </rPr>
      <t>NOTE</t>
    </r>
    <r>
      <rPr>
        <sz val="8"/>
        <color theme="1"/>
        <rFont val="Calibri"/>
        <family val="2"/>
        <scheme val="minor"/>
      </rPr>
      <t>: This should only be populated for Exclusive Brands SKU)</t>
    </r>
  </si>
  <si>
    <r>
      <rPr/>
      <t>Master Carton Dimensions - Width in cm 
(</t>
    </r>
    <r>
      <rPr>
        <b/>
        <sz val="8"/>
        <color theme="1"/>
        <rFont val="Calibri"/>
        <family val="2"/>
        <scheme val="minor"/>
      </rPr>
      <t>NOTE</t>
    </r>
    <r>
      <rPr>
        <sz val="8"/>
        <color theme="1"/>
        <rFont val="Calibri"/>
        <family val="2"/>
        <scheme val="minor"/>
      </rPr>
      <t>: This should only be populated for Exclusive Brands SKU)</t>
    </r>
  </si>
  <si>
    <r>
      <rPr/>
      <t>Master Carton Dimensions - Height in cm 
(</t>
    </r>
    <r>
      <rPr>
        <b/>
        <sz val="8"/>
        <color theme="1"/>
        <rFont val="Calibri"/>
        <family val="2"/>
        <scheme val="minor"/>
      </rPr>
      <t>NOTE</t>
    </r>
    <r>
      <rPr>
        <sz val="8"/>
        <color theme="1"/>
        <rFont val="Calibri"/>
        <family val="2"/>
        <scheme val="minor"/>
      </rPr>
      <t>: This should only be populated for Exclusive Brands SKU)</t>
    </r>
  </si>
  <si>
    <r>
      <rPr/>
      <t>Master Carton Dimensions - Weight in kg 
(</t>
    </r>
    <r>
      <rPr>
        <b/>
        <sz val="8"/>
        <color theme="1"/>
        <rFont val="Calibri"/>
        <family val="2"/>
        <scheme val="minor"/>
      </rPr>
      <t>NOTE</t>
    </r>
    <r>
      <rPr>
        <sz val="8"/>
        <color theme="1"/>
        <rFont val="Calibri"/>
        <family val="2"/>
        <scheme val="minor"/>
      </rPr>
      <t>: This should only be populated for Exclusive Brands SKU)</t>
    </r>
  </si>
  <si>
    <r>
      <rPr/>
      <t>20 ft Container Quantity in Eaches/Units 
(</t>
    </r>
    <r>
      <rPr>
        <b/>
        <sz val="8"/>
        <color theme="1"/>
        <rFont val="Calibri"/>
        <family val="2"/>
        <scheme val="minor"/>
      </rPr>
      <t>NOTE</t>
    </r>
    <r>
      <rPr>
        <sz val="8"/>
        <color theme="1"/>
        <rFont val="Calibri"/>
        <family val="2"/>
        <scheme val="minor"/>
      </rPr>
      <t>: This should only be populated for Exclusive Brands SKU)</t>
    </r>
  </si>
  <si>
    <r>
      <rPr/>
      <t>40 ft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</si>
  <si>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40 ft High Cube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</si>
  <si>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45 ft NOR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</si>
  <si>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Lithium Manganese Dioxide(LiMnO2</t>
    </r>
    <r>
      <rPr>
        <sz val="11"/>
        <color rgb="FF003366"/>
        <rFont val="Calibri"/>
        <family val="2"/>
        <scheme val="minor"/>
      </rPr>
      <t>)</t>
    </r>
  </si>
  <si>
    <r>
      <rPr/>
      <t>PET</t>
    </r>
    <r>
      <rPr>
        <b/>
        <sz val="10"/>
        <color theme="1"/>
        <rFont val="Calibri"/>
        <family val="2"/>
        <scheme val="minor"/>
      </rPr>
      <t xml:space="preserve"> Bottles &amp; Jars</t>
    </r>
    <r>
      <rPr>
        <sz val="10"/>
        <color theme="1"/>
        <rFont val="Calibri"/>
        <family val="2"/>
        <scheme val="minor"/>
      </rPr>
      <t xml:space="preserve"> (only)</t>
    </r>
  </si>
  <si>
    <r>
      <rPr/>
      <t xml:space="preserve">HDPE </t>
    </r>
    <r>
      <rPr>
        <b/>
        <sz val="10"/>
        <color theme="1"/>
        <rFont val="Calibri"/>
        <family val="2"/>
        <scheme val="minor"/>
      </rPr>
      <t>Bottle, Jars &amp; Jugs</t>
    </r>
    <r>
      <rPr>
        <sz val="10"/>
        <color theme="1"/>
        <rFont val="Calibri"/>
        <family val="2"/>
        <scheme val="minor"/>
      </rPr>
      <t xml:space="preserve"> (only)</t>
    </r>
  </si>
  <si>
    <r>
      <rPr/>
      <t>BATTERIES SECTION</t>
    </r>
    <r>
      <rPr>
        <b/>
        <sz val="10"/>
        <color rgb="FFFF0000"/>
        <rFont val="Calibri"/>
        <family val="2"/>
        <scheme val="minor"/>
      </rPr>
      <t xml:space="preserve">
</t>
    </r>
  </si>
  <si>
    <r>
      <rPr/>
      <t xml:space="preserve">Additional information is </t>
    </r>
    <r>
      <rPr>
        <b/>
        <u/>
        <sz val="11"/>
        <color rgb="FF000000"/>
        <rFont val="Calibri"/>
        <family val="2"/>
        <scheme val="minor"/>
      </rPr>
      <t>required by law</t>
    </r>
    <r>
      <rPr>
        <sz val="11"/>
        <color rgb="FF000000"/>
        <rFont val="Calibri"/>
        <family val="2"/>
        <scheme val="minor"/>
      </rPr>
      <t xml:space="preserve"> for all product powered by lithium batteries or cells.  Please review the following policies on Best Buy’s Vendor Partner Portal for more information:
•	SKU Setup Policy and Guidelines – Canada
•	Transportation of Dangerous Goods - Canada
</t>
    </r>
    <r>
      <rPr>
        <b/>
        <sz val="11"/>
        <color rgb="FF000000"/>
        <rFont val="Calibri"/>
        <family val="2"/>
        <scheme val="minor"/>
      </rPr>
      <t>Action Required:</t>
    </r>
    <r>
      <rPr>
        <sz val="11"/>
        <color rgb="FF000000"/>
        <rFont val="Calibri"/>
        <family val="2"/>
        <scheme val="minor"/>
      </rPr>
      <t xml:space="preserve">  Vendors must submit one of each of SDS and TS documents for lithium batteries, saved as separate files; or a combined SDS and TS document as one file. 
Net weight of individual lithium batteries is required in order to comply with air transport regulations which limit the total weight of lithium batteries for air shipments. 
When Regular battery (ie Alkaline or Silver Oxide based) is selected, only Size/Format and Quantity are required to be provided.</t>
    </r>
  </si>
  <si>
    <r>
      <rPr/>
      <t xml:space="preserve">1 - # Lithium Content (Primary) </t>
    </r>
    <r>
      <rPr>
        <b/>
        <sz val="10"/>
        <color rgb="FFFF0000"/>
        <rFont val="Calibri"/>
        <family val="2"/>
        <scheme val="minor"/>
      </rPr>
      <t>(grams)</t>
    </r>
  </si>
  <si>
    <r>
      <rPr/>
      <t xml:space="preserve">1 - Individual Li Battery Net Weight </t>
    </r>
    <r>
      <rPr>
        <b/>
        <sz val="10"/>
        <color rgb="FFFF0000"/>
        <rFont val="Calibri"/>
        <family val="2"/>
        <scheme val="minor"/>
      </rPr>
      <t>(kg)</t>
    </r>
  </si>
  <si>
    <r>
      <rPr/>
      <t xml:space="preserve">2 - # Lithium Content (Primary) </t>
    </r>
    <r>
      <rPr>
        <b/>
        <sz val="10"/>
        <color rgb="FFFF0000"/>
        <rFont val="Calibri"/>
        <family val="2"/>
        <scheme val="minor"/>
      </rPr>
      <t>(grams)</t>
    </r>
  </si>
  <si>
    <r>
      <rPr/>
      <t xml:space="preserve">2 - Individual Li Battery Net Weight </t>
    </r>
    <r>
      <rPr>
        <b/>
        <sz val="10"/>
        <color rgb="FFFF0000"/>
        <rFont val="Calibri"/>
        <family val="2"/>
        <scheme val="minor"/>
      </rPr>
      <t>(kg)</t>
    </r>
  </si>
  <si>
    <r>
      <rPr/>
      <t xml:space="preserve">3 - # Lithium Content (Primary) </t>
    </r>
    <r>
      <rPr>
        <b/>
        <sz val="10"/>
        <color rgb="FFFF0000"/>
        <rFont val="Calibri"/>
        <family val="2"/>
        <scheme val="minor"/>
      </rPr>
      <t>(grams)</t>
    </r>
  </si>
  <si>
    <r>
      <rPr/>
      <t xml:space="preserve">3 - Individual Li Battery Net Weight </t>
    </r>
    <r>
      <rPr>
        <b/>
        <sz val="10"/>
        <color rgb="FFFF0000"/>
        <rFont val="Calibri"/>
        <family val="2"/>
        <scheme val="minor"/>
      </rPr>
      <t>(kg)</t>
    </r>
  </si>
  <si>
    <r>
      <rPr/>
      <t xml:space="preserve">4 - # Lithium Content (Primary) </t>
    </r>
    <r>
      <rPr>
        <b/>
        <sz val="10"/>
        <color rgb="FFFF0000"/>
        <rFont val="Calibri"/>
        <family val="2"/>
        <scheme val="minor"/>
      </rPr>
      <t>(grams)</t>
    </r>
  </si>
  <si>
    <r>
      <rPr/>
      <t xml:space="preserve">4 - Individual Li Battery Net Weight </t>
    </r>
    <r>
      <rPr>
        <b/>
        <sz val="10"/>
        <color rgb="FFFF0000"/>
        <rFont val="Calibri"/>
        <family val="2"/>
        <scheme val="minor"/>
      </rPr>
      <t>(kg)</t>
    </r>
  </si>
  <si>
    <r>
      <rPr/>
      <t>Qty (</t>
    </r>
    <r>
      <rPr>
        <b/>
        <sz val="10"/>
        <color rgb="FF000000"/>
        <rFont val="Calibri"/>
        <family val="2"/>
        <scheme val="minor"/>
      </rPr>
      <t>Liters</t>
    </r>
    <r>
      <rPr>
        <sz val="10"/>
        <color rgb="FF000000"/>
        <rFont val="Calibri"/>
        <family val="2"/>
        <scheme val="minor"/>
      </rPr>
      <t xml:space="preserve"> for Aerosol, Gas or Liquid </t>
    </r>
    <r>
      <rPr>
        <b/>
        <sz val="10"/>
        <color rgb="FF000000"/>
        <rFont val="Calibri"/>
        <family val="2"/>
        <scheme val="minor"/>
      </rPr>
      <t xml:space="preserve">KG </t>
    </r>
    <r>
      <rPr>
        <sz val="10"/>
        <color rgb="FF000000"/>
        <rFont val="Calibri"/>
        <family val="2"/>
        <scheme val="minor"/>
      </rPr>
      <t>for Solid)</t>
    </r>
  </si>
  <si>
    <r>
      <rPr/>
      <t>If you have to paste values from other files, please remove special characters that may cause failure during data upload into our system. You can use (/) (;)as separators instead of (,).     (</t>
    </r>
    <r>
      <rPr>
        <b/>
        <sz val="11"/>
        <color rgb="FFFF0000"/>
        <rFont val="Cambria"/>
        <family val="1"/>
        <scheme val="major"/>
      </rPr>
      <t>"</t>
    </r>
    <r>
      <rPr>
        <sz val="11"/>
        <color rgb="FF333399"/>
        <rFont val="Cambria"/>
        <family val="1"/>
        <scheme val="major"/>
      </rPr>
      <t>)(</t>
    </r>
    <r>
      <rPr>
        <b/>
        <sz val="11"/>
        <color rgb="FFFF0000"/>
        <rFont val="Cambria"/>
        <family val="1"/>
        <scheme val="major"/>
      </rPr>
      <t>'</t>
    </r>
    <r>
      <rPr>
        <sz val="11"/>
        <color rgb="FF333399"/>
        <rFont val="Cambria"/>
        <family val="1"/>
        <scheme val="major"/>
      </rPr>
      <t>) or open "</t>
    </r>
    <r>
      <rPr>
        <b/>
        <sz val="11"/>
        <color rgb="FFFF0000"/>
        <rFont val="Cambria"/>
        <family val="1"/>
        <scheme val="major"/>
      </rPr>
      <t>(</t>
    </r>
    <r>
      <rPr>
        <sz val="11"/>
        <color rgb="FF333399"/>
        <rFont val="Cambria"/>
        <family val="1"/>
        <scheme val="major"/>
      </rPr>
      <t>" and close "</t>
    </r>
    <r>
      <rPr>
        <b/>
        <sz val="11"/>
        <color rgb="FFFF0000"/>
        <rFont val="Cambria"/>
        <family val="1"/>
        <scheme val="major"/>
      </rPr>
      <t>)</t>
    </r>
    <r>
      <rPr>
        <sz val="11"/>
        <color rgb="FF333399"/>
        <rFont val="Cambria"/>
        <family val="1"/>
        <scheme val="major"/>
      </rPr>
      <t>" brackets should also be avoided.</t>
    </r>
  </si>
  <si>
    <r>
      <rPr/>
      <t xml:space="preserve">The input area of the set-up sheet tab is conditionally formatted - yellow while blank and changes to No Color when value is entered - for easy visibility of blank fields.  Most attributes require input value but some attributes can be null/blank, please refer to </t>
    </r>
    <r>
      <rPr>
        <b/>
        <i/>
        <sz val="11"/>
        <color rgb="FF333399"/>
        <rFont val="Cambria"/>
        <family val="1"/>
        <scheme val="major"/>
      </rPr>
      <t>Expected Values/Explanations</t>
    </r>
    <r>
      <rPr>
        <sz val="11"/>
        <color rgb="FF333399"/>
        <rFont val="Cambria"/>
        <family val="1"/>
        <scheme val="major"/>
      </rPr>
      <t xml:space="preserve"> section for descriptions and value options for each attributes.</t>
    </r>
  </si>
  <si>
    <r>
      <rPr/>
      <t xml:space="preserve"> * For Inventory set-up via Mercury, please follow steps posted in CSG Wiki.  Select appropriate vendor code, department and product content category.  Mercury will generate 2 Forms.   
              1) BBYC Setup Form - contains product information required by BBYC system and the form is autopopulated with reverse/service defaults 
              2) SMART Sheet - this contains product specifications and other online requirements
* Email both forms to Vendor.  
* Upon receipt of the completed forms from Vendor, review if all details are complete to avoid processing delay.  At the same time, ensure that image source is provided by Vendor on BBYC Set-up Form and SMART Sheet
* Email the completed forms to:  </t>
    </r>
    <r>
      <rPr>
        <sz val="11"/>
        <color rgb="FFFF0000"/>
        <rFont val="Cambria"/>
        <family val="1"/>
        <scheme val="major"/>
      </rPr>
      <t xml:space="preserve">supportoffice_MSO@bestbuycanada.ca.   
</t>
    </r>
    <r>
      <rPr>
        <b/>
        <sz val="12"/>
        <color rgb="FF00CCFF"/>
        <rFont val="Cambria"/>
        <family val="1"/>
        <scheme val="major"/>
      </rPr>
      <t xml:space="preserve">Note: </t>
    </r>
    <r>
      <rPr>
        <sz val="11"/>
        <color rgb="FF000080"/>
        <rFont val="Cambria"/>
        <family val="1"/>
        <scheme val="major"/>
      </rPr>
      <t xml:space="preserve"> ALWAYS! send 2 forms. BBYC Setup sheet and SMART Sheet will be validated at time of submission to ensure that same UPC and model# matches on both sheets.  If not, request will be returned.</t>
    </r>
    <r>
      <rPr>
        <sz val="11"/>
        <color rgb="FFFF0000"/>
        <rFont val="Cambria"/>
        <family val="1"/>
        <scheme val="major"/>
      </rPr>
      <t xml:space="preserve">
</t>
    </r>
    <r>
      <rPr>
        <sz val="11"/>
        <rFont val="Cambria"/>
        <family val="1"/>
        <scheme val="major"/>
      </rPr>
      <t>*</t>
    </r>
    <r>
      <rPr>
        <sz val="11"/>
        <color rgb="FF003366"/>
        <rFont val="Cambria"/>
        <family val="1"/>
        <scheme val="major"/>
      </rPr>
      <t xml:space="preserve"> If submitted forms passed the validations and completed, SKU# can be queried by searching the UPC in RMS or MERCURY the next day (no confirmation email will be sent).   </t>
    </r>
  </si>
  <si>
    <r>
      <rPr/>
      <t xml:space="preserve">* Select proper options and complete details.  
* Email the completed form to:  </t>
    </r>
    <r>
      <rPr>
        <sz val="11"/>
        <color rgb="FFFF0000"/>
        <rFont val="Cambria"/>
        <family val="1"/>
        <scheme val="major"/>
      </rPr>
      <t xml:space="preserve">supportoffice_MSO@bestbuycanada.ca  </t>
    </r>
  </si>
  <si>
    <t xml:space="preserve">const workbook = await XlsxPopulate.default.fromDataAsync(arrayBuffer);</t>
  </si>
  <si>
    <t xml:space="preserve">adsfasdf</t>
  </si>
  <si>
    <t xml:space="preserve">123459875461</t>
  </si>
  <si>
    <t xml:space="preserve">asdfsd</t>
  </si>
  <si>
    <t xml:space="preserve">asdfsdfasd</t>
  </si>
  <si>
    <t xml:space="preserve">import path from 'path';</t>
  </si>
  <si>
    <t xml:space="preserve">1234567894123</t>
  </si>
  <si>
    <t xml:space="preserve">asdfasdf</t>
  </si>
  <si>
    <t xml:space="preserve">s</t>
  </si>
  <si>
    <t xml:space="preserve">df</t>
  </si>
  <si>
    <t xml:space="preserve">asdfsdf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</si>
</sst>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numFmt numFmtId="164" formatCode="[$-409]dd\-mmm\-yy;@"/>
    <numFmt numFmtId="165" formatCode="[$-409]mmm\-yy;@"/>
    <numFmt numFmtId="166" formatCode="yyyymmdd"/>
    <numFmt numFmtId="167" formatCode="0.000"/>
    <numFmt numFmtId="168" formatCode="yyyymmddhhmmss"/>
    <numFmt numFmtId="169" formatCode="0.0000"/>
  </numFmts>
  <fonts>
    <font>
      <sz val="11"/>
      <color theme="1"/>
      <name val="Calibri"/>
      <family val="2"/>
      <scheme val="minor"/>
    </font>
    <font>
      <u/>
      <sz val="11"/>
      <color theme="10"/>
      <name val="Calibri"/>
      <family val="2"/>
      <scheme val="minor"/>
    </font>
    <font>
      <sz val="11"/>
      <color rgb="FF006100"/>
      <name val="Calibri"/>
      <family val="2"/>
      <scheme val="minor"/>
    </font>
    <font>
      <u/>
      <sz val="10"/>
      <color rgb="FF0000FF"/>
      <name val="Arial"/>
      <family val="2"/>
    </font>
    <font>
      <sz val="10"/>
      <name val="Arial"/>
      <family val="2"/>
    </font>
    <font>
      <sz val="10"/>
      <color rgb="FF000000"/>
      <name val="Arial"/>
      <family val="2"/>
    </font>
    <font>
      <sz val="10"/>
      <name val="Helv"/>
    </font>
    <font>
      <sz val="10"/>
      <color theme="1"/>
      <name val="Calibri"/>
      <family val="2"/>
      <scheme val="minor"/>
    </font>
    <font>
      <sz val="11"/>
      <color rgb="FF000000"/>
      <name val="Calibri"/>
      <family val="2"/>
      <scheme val="minor"/>
    </font>
    <font>
      <b/>
      <sz val="10"/>
      <color theme="1"/>
      <name val="Calibri"/>
      <family val="2"/>
      <scheme val="minor"/>
    </font>
    <font>
      <sz val="12"/>
      <color theme="1"/>
      <name val="Calibri"/>
      <family val="2"/>
      <scheme val="minor"/>
    </font>
    <font>
      <sz val="11"/>
      <color theme="0"/>
      <name val="Calibri"/>
      <family val="2"/>
      <scheme val="minor"/>
    </font>
    <font>
      <b/>
      <sz val="11"/>
      <color theme="1"/>
      <name val="Calibri"/>
      <family val="2"/>
      <scheme val="minor"/>
    </font>
    <font>
      <sz val="11"/>
      <color rgb="FF1F497D"/>
      <name val="Calibri"/>
      <family val="2"/>
      <scheme val="minor"/>
    </font>
    <font>
      <sz val="10"/>
      <color theme="0"/>
      <name val="Calibri"/>
      <family val="2"/>
      <scheme val="minor"/>
    </font>
    <font>
      <sz val="10"/>
      <color rgb="FF000000"/>
      <name val="Calibri"/>
      <family val="2"/>
      <scheme val="minor"/>
    </font>
    <font>
      <sz val="9"/>
      <color theme="1"/>
      <name val="Calibri"/>
      <family val="2"/>
      <scheme val="minor"/>
    </font>
    <font>
      <b/>
      <sz val="8"/>
      <color theme="0"/>
      <name val="Calibri"/>
      <family val="2"/>
      <scheme val="minor"/>
    </font>
    <font>
      <sz val="8"/>
      <color theme="1"/>
      <name val="Calibri"/>
      <family val="2"/>
      <scheme val="minor"/>
    </font>
    <font>
      <sz val="10"/>
      <color theme="1"/>
      <name val="Arial"/>
      <family val="2"/>
    </font>
    <font>
      <sz val="11"/>
      <color rgb="FF17365D"/>
      <name val="Cambria"/>
      <family val="1"/>
      <scheme val="major"/>
    </font>
    <font>
      <sz val="11"/>
      <color rgb="FF252525"/>
      <name val="Calibri"/>
      <family val="2"/>
      <scheme val="minor"/>
    </font>
    <font>
      <b/>
      <sz val="10"/>
      <color rgb="FF000000"/>
      <name val="Calibri"/>
      <family val="2"/>
      <scheme val="minor"/>
    </font>
    <font>
      <sz val="26"/>
      <color rgb="FF17365D"/>
      <name val="Cambria"/>
      <family val="1"/>
      <scheme val="major"/>
    </font>
    <font>
      <b/>
      <sz val="8"/>
      <color theme="1"/>
      <name val="Calibri"/>
      <family val="2"/>
      <scheme val="minor"/>
    </font>
    <font>
      <b/>
      <sz val="11"/>
      <color theme="0"/>
      <name val="Calibri"/>
      <family val="2"/>
      <scheme val="minor"/>
    </font>
    <font>
      <b/>
      <sz val="12"/>
      <color theme="1"/>
      <name val="Calibri"/>
      <family val="2"/>
      <scheme val="minor"/>
    </font>
    <font>
      <b/>
      <sz val="10"/>
      <color theme="0"/>
      <name val="Calibri"/>
      <family val="2"/>
      <scheme val="minor"/>
    </font>
    <font>
      <sz val="20"/>
      <color theme="1"/>
      <name val="Calibri"/>
      <family val="2"/>
      <scheme val="minor"/>
    </font>
    <font>
      <i/>
      <sz val="11"/>
      <color theme="1"/>
      <name val="Calibri"/>
      <family val="2"/>
      <scheme val="minor"/>
    </font>
    <font>
      <sz val="9"/>
      <color rgb="FF000000"/>
      <name val="Calibri"/>
      <family val="2"/>
      <scheme val="minor"/>
    </font>
    <font>
      <b/>
      <i/>
      <sz val="9"/>
      <color theme="8" tint="-0.499984740745262"/>
      <name val="Calibri"/>
      <family val="2"/>
      <scheme val="minor"/>
    </font>
    <font>
      <b/>
      <sz val="9"/>
      <color rgb="FFFF0000"/>
      <name val="Calibri"/>
      <family val="2"/>
      <scheme val="minor"/>
    </font>
    <font>
      <sz val="11"/>
      <color theme="6" tint="0.39997558519241921"/>
      <name val="Calibri"/>
      <family val="2"/>
      <scheme val="minor"/>
    </font>
    <font>
      <sz val="26"/>
      <color theme="0"/>
      <name val="Calibri"/>
      <family val="2"/>
      <scheme val="minor"/>
    </font>
    <font>
      <sz val="11"/>
      <color theme="0" tint="-0.34998626667073579"/>
      <name val="Calibri"/>
      <family val="2"/>
      <scheme val="minor"/>
    </font>
    <font>
      <b/>
      <sz val="16"/>
      <color rgb="FF365F91"/>
      <name val="Cambria"/>
      <family val="1"/>
      <scheme val="major"/>
    </font>
    <font>
      <sz val="11"/>
      <color rgb="FFFF0000"/>
      <name val="Calibri"/>
      <family val="2"/>
      <scheme val="minor"/>
    </font>
    <font>
      <i/>
      <sz val="9"/>
      <color theme="8" tint="-0.499984740745262"/>
      <name val="Calibri"/>
      <family val="2"/>
      <scheme val="minor"/>
    </font>
    <font>
      <sz val="14"/>
      <color theme="1"/>
      <name val="Calibri"/>
      <family val="2"/>
      <scheme val="minor"/>
    </font>
    <font>
      <sz val="10.5"/>
      <color rgb="FF262626"/>
      <name val="Arial"/>
      <family val="2"/>
    </font>
    <font>
      <b/>
      <sz val="12"/>
      <color theme="0"/>
      <name val="Calibri"/>
      <family val="2"/>
      <scheme val="minor"/>
    </font>
    <font>
      <u/>
      <sz val="26"/>
      <color rgb="FFFF0000"/>
      <name val="Cambria"/>
      <family val="1"/>
      <scheme val="major"/>
    </font>
    <font>
      <b/>
      <i/>
      <sz val="9"/>
      <color theme="0"/>
      <name val="Calibri"/>
      <family val="2"/>
      <scheme val="minor"/>
    </font>
    <font>
      <sz val="26"/>
      <color theme="1"/>
      <name val="Calibri"/>
      <family val="2"/>
      <scheme val="minor"/>
    </font>
    <font>
      <b/>
      <sz val="11"/>
      <color rgb="FF000000"/>
      <name val="Calibri"/>
      <family val="2"/>
      <scheme val="minor"/>
    </font>
    <font>
      <sz val="9"/>
      <color rgb="FFFF0000"/>
      <name val="Arial"/>
      <family val="2"/>
    </font>
    <font>
      <b/>
      <i/>
      <sz val="11"/>
      <color theme="1"/>
      <name val="Calibri"/>
      <family val="2"/>
      <scheme val="minor"/>
    </font>
    <font>
      <sz val="10"/>
      <color rgb="FF333333"/>
      <name val="Tahoma"/>
      <family val="2"/>
    </font>
    <font>
      <b/>
      <sz val="20"/>
      <color theme="1"/>
      <name val="Calibri"/>
      <family val="2"/>
      <scheme val="minor"/>
    </font>
    <font>
      <sz val="9"/>
      <color theme="1"/>
      <name val="Arial Narrow"/>
      <family val="2"/>
    </font>
    <font>
      <sz val="8"/>
      <color rgb="FF000000"/>
      <name val="Calibri"/>
      <family val="2"/>
      <scheme val="minor"/>
    </font>
    <font>
      <b/>
      <i/>
      <sz val="11"/>
      <color rgb="FF333399"/>
      <name val="Cambria"/>
      <family val="1"/>
      <scheme val="major"/>
    </font>
    <font>
      <sz val="11"/>
      <color rgb="FF333399"/>
      <name val="Cambria"/>
      <family val="1"/>
      <scheme val="major"/>
    </font>
    <font>
      <b/>
      <sz val="8"/>
      <color rgb="FF000000"/>
      <name val="Calibri"/>
      <family val="2"/>
      <scheme val="minor"/>
    </font>
    <font>
      <b/>
      <sz val="8"/>
      <name val="Calibri"/>
      <family val="2"/>
      <scheme val="minor"/>
    </font>
    <font>
      <b/>
      <sz val="8"/>
      <color rgb="FFFF0000"/>
      <name val="Calibri"/>
      <family val="2"/>
      <scheme val="minor"/>
    </font>
    <font>
      <b/>
      <sz val="10"/>
      <color rgb="FFFF0000"/>
      <name val="Calibri"/>
      <family val="2"/>
      <scheme val="minor"/>
    </font>
    <font>
      <b/>
      <i/>
      <sz val="8"/>
      <color rgb="FF000000"/>
      <name val="Calibri"/>
      <family val="2"/>
      <scheme val="minor"/>
    </font>
    <font>
      <b/>
      <u/>
      <sz val="11"/>
      <color rgb="FF000000"/>
      <name val="Calibri"/>
      <family val="2"/>
      <scheme val="minor"/>
    </font>
    <font>
      <b/>
      <u/>
      <sz val="8"/>
      <color rgb="FF000000"/>
      <name val="Calibri"/>
      <family val="2"/>
      <scheme val="minor"/>
    </font>
    <font>
      <b/>
      <sz val="11"/>
      <color rgb="FFFF0000"/>
      <name val="Cambria"/>
      <family val="1"/>
      <scheme val="major"/>
    </font>
    <font>
      <u/>
      <sz val="8"/>
      <color rgb="FF000000"/>
      <name val="Calibri"/>
      <family val="2"/>
      <scheme val="minor"/>
    </font>
    <font>
      <sz val="11"/>
      <color rgb="FF003366"/>
      <name val="Calibri"/>
      <family val="2"/>
      <scheme val="minor"/>
    </font>
    <font>
      <b/>
      <sz val="11"/>
      <color rgb="FFFFFFFF"/>
      <name val="Calibri"/>
      <family val="2"/>
      <scheme val="minor"/>
    </font>
    <font>
      <b/>
      <sz val="10"/>
      <color rgb="FFFFFFFF"/>
      <name val="Calibri"/>
      <family val="2"/>
      <scheme val="minor"/>
    </font>
    <font>
      <b/>
      <sz val="12"/>
      <color rgb="FFFF0000"/>
      <name val="Calibri"/>
      <family val="2"/>
      <scheme val="minor"/>
    </font>
    <font>
      <b/>
      <sz val="12"/>
      <color rgb="FF000000"/>
      <name val="Calibri"/>
      <family val="2"/>
      <scheme val="minor"/>
    </font>
    <font>
      <sz val="8"/>
      <color rgb="FFFF0000"/>
      <name val="Calibri"/>
      <family val="2"/>
      <scheme val="minor"/>
    </font>
    <font>
      <sz val="11"/>
      <color rgb="FFFF0000"/>
      <name val="Cambria"/>
      <family val="1"/>
      <scheme val="major"/>
    </font>
    <font>
      <b/>
      <sz val="12"/>
      <color rgb="FF00CCFF"/>
      <name val="Cambria"/>
      <family val="1"/>
      <scheme val="major"/>
    </font>
    <font>
      <sz val="11"/>
      <color rgb="FF000080"/>
      <name val="Cambria"/>
      <family val="1"/>
      <scheme val="major"/>
    </font>
    <font>
      <sz val="11"/>
      <name val="Cambria"/>
      <family val="1"/>
      <scheme val="major"/>
    </font>
    <font>
      <sz val="11"/>
      <color rgb="FF003366"/>
      <name val="Cambria"/>
      <family val="1"/>
      <scheme val="major"/>
    </font>
    <font>
      <b/>
      <sz val="8"/>
      <color indexed="81"/>
      <name val="Tahoma"/>
      <family val="2"/>
    </font>
    <font>
      <sz val="8"/>
      <color indexed="81"/>
      <name val="Tahoma"/>
      <family val="2"/>
    </font>
    <font>
      <b/>
      <u/>
      <sz val="8"/>
      <color indexed="81"/>
      <name val="Tahoma"/>
      <family val="2"/>
    </font>
    <font>
      <b/>
      <sz val="9"/>
      <color indexed="81"/>
      <name val="Tahoma"/>
      <family val="2"/>
    </font>
    <font>
      <sz val="9"/>
      <color indexed="81"/>
      <name val="Tahoma"/>
      <family val="2"/>
    </font>
    <font>
      <b/>
      <i/>
      <sz val="9"/>
      <color indexed="81"/>
      <name val="Tahoma"/>
      <family val="2"/>
    </font>
    <font>
      <sz val="11"/>
      <color theme="1"/>
      <name val="Calibri"/>
      <family val="2"/>
      <scheme val="minor"/>
    </font>
    <font>
      <sz val="11"/>
      <color rgb="FF000000"/>
      <name val="Calibri"/>
      <family val="2"/>
    </font>
  </fonts>
  <fills>
    <fill>
      <patternFill patternType="none"/>
    </fill>
    <fill>
      <patternFill patternType="gray125"/>
    </fill>
    <fill>
      <patternFill patternType="solid">
        <fgColor rgb="FFC6EFCE"/>
      </patternFill>
    </fill>
    <fill>
      <patternFill patternType="solid">
        <fgColor theme="0" tint="-0.14999847407452621"/>
        <bgColor indexed="64"/>
      </patternFill>
    </fill>
    <fill>
      <patternFill patternType="solid">
        <fgColor theme="8" tint="0.79998168889431442"/>
        <bgColor indexed="64"/>
      </patternFill>
    </fill>
    <fill>
      <patternFill patternType="solid">
        <fgColor theme="1"/>
        <bgColor indexed="64"/>
      </patternFill>
    </fill>
    <fill>
      <patternFill patternType="solid">
        <fgColor rgb="FFFFFF00"/>
        <bgColor indexed="64"/>
      </patternFill>
    </fill>
    <fill>
      <patternFill patternType="solid">
        <fgColor theme="3"/>
        <bgColor indexed="64"/>
      </patternFill>
    </fill>
    <fill>
      <patternFill patternType="solid">
        <fgColor theme="0" tint="-0.34998626667073579"/>
        <bgColor indexed="64"/>
      </patternFill>
    </fill>
    <fill>
      <patternFill patternType="solid">
        <fgColor rgb="FFC00000"/>
        <bgColor indexed="64"/>
      </patternFill>
    </fill>
    <fill>
      <patternFill patternType="solid">
        <fgColor theme="9" tint="-0.249977111117893"/>
        <bgColor indexed="64"/>
      </patternFill>
    </fill>
    <fill>
      <patternFill patternType="solid">
        <fgColor rgb="FFFF0000"/>
        <bgColor indexed="64"/>
      </patternFill>
    </fill>
    <fill>
      <patternFill patternType="solid">
        <fgColor theme="5" tint="-0.249977111117893"/>
        <bgColor indexed="64"/>
      </patternFill>
    </fill>
    <fill>
      <patternFill patternType="solid">
        <fgColor theme="3" tint="-0.249977111117893"/>
        <bgColor indexed="64"/>
      </patternFill>
    </fill>
    <fill>
      <patternFill patternType="solid">
        <fgColor rgb="FF0070C0"/>
        <bgColor indexed="64"/>
      </patternFill>
    </fill>
    <fill>
      <patternFill patternType="solid">
        <fgColor theme="5"/>
        <bgColor indexed="64"/>
      </patternFill>
    </fill>
    <fill>
      <patternFill patternType="solid">
        <fgColor theme="6" tint="-0.249977111117893"/>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rgb="FF66FF66"/>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rgb="FF66FFFF"/>
        <bgColor indexed="64"/>
      </patternFill>
    </fill>
    <fill>
      <patternFill patternType="solid">
        <fgColor theme="9" tint="0.39997558519241921"/>
        <bgColor indexed="64"/>
      </patternFill>
    </fill>
    <fill>
      <patternFill patternType="solid">
        <fgColor theme="8" tint="0.39997558519241921"/>
        <bgColor indexed="64"/>
      </patternFill>
    </fill>
  </fills>
  <borders>
    <border>
      <left/>
      <right/>
      <top/>
      <bottom/>
      <diagonal/>
    </border>
    <border>
      <left style="medium">
        <color indexed="64"/>
      </left>
      <right style="thin">
        <color indexed="64"/>
      </right>
      <top/>
      <bottom/>
      <diagonal/>
    </border>
    <border>
      <left style="thin">
        <color rgb="FFC0C0C0"/>
      </left>
      <right style="thin">
        <color rgb="FFC0C0C0"/>
      </right>
      <top/>
      <bottom/>
      <diagonal/>
    </border>
    <border>
      <left style="medium">
        <color indexed="64"/>
      </left>
      <right style="thin">
        <color indexed="64"/>
      </right>
      <top style="medium">
        <color indexed="64"/>
      </top>
      <bottom/>
      <diagonal/>
    </border>
    <border>
      <left/>
      <right style="thin">
        <color rgb="FFC0C0C0"/>
      </right>
      <top/>
      <bottom/>
      <diagonal/>
    </border>
    <border>
      <left style="thin">
        <color rgb="FFC0C0C0"/>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medium">
        <color indexed="64"/>
      </bottom>
      <diagonal/>
    </border>
    <border>
      <left style="thin">
        <color rgb="FFC0C0C0"/>
      </left>
      <right style="thin">
        <color rgb="FFC0C0C0"/>
      </right>
      <top style="thin">
        <color rgb="FFC0C0C0"/>
      </top>
      <bottom style="thin">
        <color rgb="FFC0C0C0"/>
      </bottom>
      <diagonal/>
    </border>
    <border>
      <left style="medium">
        <color indexed="64"/>
      </left>
      <right style="thin">
        <color indexed="64"/>
      </right>
      <top style="medium">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style="medium">
        <color indexed="64"/>
      </top>
      <bottom/>
      <diagonal/>
    </border>
    <border>
      <left/>
      <right/>
      <top style="thin">
        <color indexed="64"/>
      </top>
      <bottom/>
      <diagonal/>
    </border>
    <border>
      <left style="thin">
        <color indexed="64"/>
      </left>
      <right style="thin">
        <color indexed="64"/>
      </right>
      <top/>
      <bottom/>
      <diagonal/>
    </border>
    <border>
      <left/>
      <right style="medium">
        <color indexed="64"/>
      </right>
      <top style="medium">
        <color indexed="64"/>
      </top>
      <bottom/>
      <diagonal/>
    </border>
    <border>
      <left/>
      <right/>
      <top/>
      <bottom style="medium">
        <color indexed="64"/>
      </bottom>
      <diagonal/>
    </border>
    <border>
      <left style="thin">
        <color indexed="64"/>
      </left>
      <right style="thin">
        <color indexed="64"/>
      </right>
      <top/>
      <bottom style="thin">
        <color indexed="64"/>
      </bottom>
      <diagonal/>
    </border>
    <border>
      <left/>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diagonal/>
    </border>
    <border>
      <left style="thin">
        <color indexed="64"/>
      </left>
      <right/>
      <top/>
      <bottom/>
      <diagonal/>
    </border>
    <border>
      <left style="thin">
        <color indexed="64"/>
      </left>
      <right/>
      <top style="medium">
        <color indexed="64"/>
      </top>
      <bottom/>
      <diagonal/>
    </border>
    <border>
      <left style="thin">
        <color indexed="64"/>
      </left>
      <right/>
      <top style="thin">
        <color indexed="64"/>
      </top>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style="medium">
        <color indexed="64"/>
      </top>
      <bottom/>
      <diagonal/>
    </border>
    <border>
      <left style="medium">
        <color indexed="64"/>
      </left>
      <right style="medium">
        <color indexed="64"/>
      </right>
      <top/>
      <bottom/>
      <diagonal/>
    </border>
    <border>
      <left style="thin">
        <color rgb="FFC0C0C0"/>
      </left>
      <right style="thin">
        <color indexed="64"/>
      </right>
      <top style="thin">
        <color rgb="FFC0C0C0"/>
      </top>
      <bottom style="thin">
        <color rgb="FFC0C0C0"/>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rgb="FFC0C0C0"/>
      </left>
      <right style="thin">
        <color indexed="64"/>
      </right>
      <top style="thin">
        <color rgb="FFC0C0C0"/>
      </top>
      <bottom style="thin">
        <color indexed="64"/>
      </bottom>
      <diagonal/>
    </border>
    <border>
      <left style="thin">
        <color indexed="64"/>
      </left>
      <right style="medium">
        <color indexed="64"/>
      </right>
      <top style="medium">
        <color indexed="64"/>
      </top>
      <bottom style="medium">
        <color indexed="64"/>
      </bottom>
      <diagonal/>
    </border>
    <border>
      <left style="thin">
        <color rgb="FFC0C0C0"/>
      </left>
      <right style="thin">
        <color rgb="FFC0C0C0"/>
      </right>
      <top style="thin">
        <color rgb="FFC0C0C0"/>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top/>
      <bottom style="medium">
        <color indexed="64"/>
      </bottom>
      <diagonal/>
    </border>
    <border>
      <left style="thin">
        <color rgb="FFC0C0C0"/>
      </left>
      <right/>
      <top style="thin">
        <color rgb="FFC0C0C0"/>
      </top>
      <bottom style="thin">
        <color rgb="FFC0C0C0"/>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thin">
        <color indexed="64"/>
      </top>
      <bottom/>
      <diagonal/>
    </border>
    <border>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style="thin">
        <color indexed="64"/>
      </left>
      <right style="thin">
        <color rgb="FFC0C0C0"/>
      </right>
      <top style="thin">
        <color rgb="FFC0C0C0"/>
      </top>
      <bottom style="thin">
        <color rgb="FFC0C0C0"/>
      </bottom>
      <diagonal/>
    </border>
    <border>
      <left/>
      <right style="thick">
        <color indexed="64"/>
      </right>
      <top style="thick">
        <color indexed="64"/>
      </top>
      <bottom style="thick">
        <color indexed="64"/>
      </bottom>
      <diagonal/>
    </border>
    <border>
      <left style="thin">
        <color indexed="64"/>
      </left>
      <right style="thin">
        <color rgb="FFC0C0C0"/>
      </right>
      <top style="thin">
        <color rgb="FFC0C0C0"/>
      </top>
      <bottom style="thin">
        <color indexed="64"/>
      </bottom>
      <diagonal/>
    </border>
    <border>
      <left/>
      <right style="medium">
        <color indexed="64"/>
      </right>
      <top/>
      <bottom/>
      <diagonal/>
    </border>
    <border>
      <left style="thick">
        <color indexed="64"/>
      </left>
      <right style="thick">
        <color indexed="64"/>
      </right>
      <top style="thick">
        <color indexed="64"/>
      </top>
      <bottom style="thick">
        <color indexed="64"/>
      </bottom>
      <diagonal/>
    </border>
    <border>
      <left/>
      <right style="thin">
        <color indexed="64"/>
      </right>
      <top style="thin">
        <color indexed="64"/>
      </top>
      <bottom/>
      <diagonal/>
    </border>
    <border>
      <left style="thick">
        <color indexed="64"/>
      </left>
      <right/>
      <top style="thick">
        <color indexed="64"/>
      </top>
      <bottom style="thick">
        <color indexed="64"/>
      </bottom>
      <diagonal/>
    </border>
    <border>
      <left style="medium">
        <color indexed="64"/>
      </left>
      <right/>
      <top/>
      <bottom style="thin">
        <color indexed="64"/>
      </bottom>
      <diagonal/>
    </border>
  </borders>
  <cellStyleXfs count="25">
    <xf numFmtId="0" fontId="0" fillId="0" borderId="0"/>
    <xf numFmtId="0" fontId="1" fillId="0" borderId="0" applyNumberFormat="0" applyFill="0" applyBorder="0" applyAlignment="0" applyProtection="0"/>
    <xf numFmtId="0" fontId="2" fillId="2" borderId="0" applyNumberFormat="0" applyBorder="0" applyAlignment="0" applyProtection="0"/>
    <xf numFmtId="0" fontId="3" fillId="0" borderId="0" applyNumberFormat="0" applyFill="0" applyBorder="0" applyAlignment="0" applyProtection="0"/>
    <xf numFmtId="0" fontId="4" fillId="0" borderId="0"/>
    <xf numFmtId="0" fontId="4" fillId="0" borderId="0"/>
    <xf numFmtId="164" fontId="4" fillId="0" borderId="0"/>
    <xf numFmtId="0" fontId="4" fillId="0" borderId="0"/>
    <xf numFmtId="165" fontId="80" fillId="0" borderId="0"/>
    <xf numFmtId="164" fontId="4" fillId="0" borderId="0"/>
    <xf numFmtId="0" fontId="4" fillId="0" borderId="0"/>
    <xf numFmtId="164" fontId="4" fillId="0" borderId="0"/>
    <xf numFmtId="164" fontId="4" fillId="0" borderId="0"/>
    <xf numFmtId="0" fontId="4" fillId="0" borderId="0"/>
    <xf numFmtId="164" fontId="4" fillId="0" borderId="0"/>
    <xf numFmtId="164" fontId="4" fillId="0" borderId="0"/>
    <xf numFmtId="0" fontId="4" fillId="0" borderId="0"/>
    <xf numFmtId="0" fontId="80" fillId="0" borderId="0"/>
    <xf numFmtId="0" fontId="4" fillId="0" borderId="0"/>
    <xf numFmtId="0" fontId="5" fillId="0" borderId="0"/>
    <xf numFmtId="0" fontId="5" fillId="0" borderId="0"/>
    <xf numFmtId="0" fontId="5" fillId="0" borderId="0"/>
    <xf numFmtId="0" fontId="5" fillId="0" borderId="0"/>
    <xf numFmtId="0" fontId="6" fillId="0" borderId="0"/>
    <xf numFmtId="164" fontId="6" fillId="0" borderId="0"/>
  </cellStyleXfs>
  <cellXfs>
    <xf numFmtId="0" fontId="0" fillId="0" borderId="0" xfId="0"/>
    <xf numFmtId="0" fontId="7" fillId="0" borderId="1" xfId="0" applyFont="1" applyBorder="1"/>
    <xf numFmtId="0" fontId="8" fillId="0" borderId="2" xfId="20" applyFont="1" applyBorder="1"/>
    <xf numFmtId="0" fontId="0" fillId="0" borderId="0" xfId="0" applyProtection="1">
      <protection locked="0"/>
    </xf>
    <xf numFmtId="0" fontId="9" fillId="3" borderId="3" xfId="0" applyFont="1" applyFill="1" applyBorder="1" applyProtection="1">
      <protection locked="0"/>
    </xf>
    <xf numFmtId="0" fontId="0" fillId="0" borderId="4" xfId="0" applyBorder="1"/>
    <xf numFmtId="0" fontId="0" fillId="0" borderId="5" xfId="0" applyBorder="1"/>
    <xf numFmtId="0" fontId="7" fillId="0" borderId="6" xfId="0" applyFont="1" applyBorder="1" applyAlignment="1" applyProtection="1">
      <alignment horizontal="left"/>
      <protection locked="0"/>
    </xf>
    <xf numFmtId="49" fontId="10" fillId="0" borderId="6" xfId="0" applyNumberFormat="1" applyFont="1" applyBorder="1" applyAlignment="1">
      <alignment horizontal="left" vertical="top"/>
    </xf>
    <xf numFmtId="0" fontId="8" fillId="0" borderId="0" xfId="19" applyFont="1" applyAlignment="1">
      <alignment horizontal="left"/>
    </xf>
    <xf numFmtId="0" fontId="0" fillId="0" borderId="7" xfId="0" applyBorder="1" applyAlignment="1" applyProtection="1">
      <alignment horizontal="left" vertical="top"/>
      <protection locked="0"/>
    </xf>
    <xf numFmtId="0" fontId="4" fillId="0" borderId="0" xfId="18" applyProtection="1">
      <protection locked="0"/>
    </xf>
    <xf numFmtId="0" fontId="11" fillId="5" borderId="6" xfId="0" applyFont="1" applyFill="1" applyBorder="1"/>
    <xf numFmtId="0" fontId="7" fillId="0" borderId="9" xfId="0" applyFont="1" applyBorder="1" applyAlignment="1" applyProtection="1">
      <alignment wrapText="1"/>
      <protection locked="0"/>
    </xf>
    <xf numFmtId="0" fontId="8" fillId="0" borderId="10" xfId="20" applyFont="1" applyBorder="1"/>
    <xf numFmtId="49" fontId="12" fillId="0" borderId="6" xfId="0" applyNumberFormat="1" applyFont="1" applyBorder="1" applyAlignment="1">
      <alignment horizontal="left" vertical="top"/>
    </xf>
    <xf numFmtId="0" fontId="10" fillId="0" borderId="13" xfId="17" applyFont="1" applyBorder="1" applyAlignment="1">
      <alignment vertical="center" wrapText="1"/>
    </xf>
    <xf numFmtId="0" fontId="0" fillId="6" borderId="0" xfId="0" applyFill="1" applyAlignment="1">
      <alignment horizontal="center" vertical="center"/>
    </xf>
    <xf numFmtId="0" fontId="2" fillId="2" borderId="2" xfId="2" applyBorder="1" applyAlignment="1"/>
    <xf numFmtId="0" fontId="12" fillId="0" borderId="0" xfId="0" applyFont="1"/>
    <xf numFmtId="49" fontId="0" fillId="0" borderId="14" xfId="0" applyNumberFormat="1" applyBorder="1" applyAlignment="1" applyProtection="1">
      <alignment horizontal="left" vertical="top"/>
      <protection locked="0"/>
    </xf>
    <xf numFmtId="0" fontId="13" fillId="0" borderId="0" xfId="0" applyFont="1" applyAlignment="1">
      <alignment vertical="center"/>
    </xf>
    <xf numFmtId="0" fontId="7" fillId="0" borderId="17" xfId="0" applyFont="1" applyBorder="1" applyProtection="1">
      <protection locked="0"/>
    </xf>
    <xf numFmtId="0" fontId="12" fillId="0" borderId="6" xfId="0" applyFont="1" applyBorder="1" applyAlignment="1">
      <alignment vertical="center" wrapText="1"/>
    </xf>
    <xf numFmtId="0" fontId="10" fillId="0" borderId="19" xfId="17" applyFont="1" applyBorder="1" applyAlignment="1">
      <alignment vertical="center" wrapText="1"/>
    </xf>
    <xf numFmtId="0" fontId="12" fillId="8" borderId="11" xfId="0" applyFont="1" applyFill="1" applyBorder="1" applyAlignment="1">
      <alignment horizontal="center"/>
    </xf>
    <xf numFmtId="0" fontId="15" fillId="0" borderId="17" xfId="0" applyFont="1" applyBorder="1" applyAlignment="1" applyProtection="1">
      <alignment wrapText="1"/>
      <protection locked="0"/>
    </xf>
    <xf numFmtId="167" fontId="0" fillId="0" borderId="7" xfId="0" applyNumberFormat="1" applyBorder="1" applyAlignment="1" applyProtection="1">
      <alignment horizontal="left" vertical="top"/>
      <protection locked="0"/>
    </xf>
    <xf numFmtId="0" fontId="0" fillId="0" borderId="20" xfId="0" applyBorder="1"/>
    <xf numFmtId="166" fontId="0" fillId="0" borderId="6" xfId="0" applyNumberFormat="1" applyBorder="1" applyAlignment="1">
      <alignment horizontal="left" vertical="top"/>
    </xf>
    <xf numFmtId="0" fontId="16" fillId="0" borderId="22" xfId="0" applyFont="1" applyBorder="1"/>
    <xf numFmtId="0" fontId="0" fillId="0" borderId="6" xfId="0" applyBorder="1" applyProtection="1">
      <protection locked="0"/>
    </xf>
    <xf numFmtId="49" fontId="0" fillId="0" borderId="6" xfId="0" applyNumberFormat="1" applyBorder="1" applyAlignment="1">
      <alignment horizontal="left" vertical="top"/>
    </xf>
    <xf numFmtId="49" fontId="10" fillId="0" borderId="23" xfId="17" applyNumberFormat="1" applyFont="1" applyBorder="1" applyAlignment="1">
      <alignment horizontal="center"/>
    </xf>
    <xf numFmtId="49" fontId="10" fillId="0" borderId="6" xfId="17" applyNumberFormat="1" applyFont="1" applyBorder="1" applyAlignment="1">
      <alignment horizontal="center" vertical="center"/>
    </xf>
    <xf numFmtId="0" fontId="7" fillId="0" borderId="0" xfId="0" applyFont="1" applyProtection="1">
      <protection locked="0"/>
    </xf>
    <xf numFmtId="0" fontId="0" fillId="6" borderId="6" xfId="0" applyFill="1" applyBorder="1" applyAlignment="1">
      <alignment horizontal="center"/>
    </xf>
    <xf numFmtId="49" fontId="10" fillId="0" borderId="26" xfId="17" applyNumberFormat="1" applyFont="1" applyBorder="1" applyAlignment="1">
      <alignment horizontal="center"/>
    </xf>
    <xf numFmtId="0" fontId="18" fillId="0" borderId="6" xfId="0" applyFont="1" applyBorder="1" applyAlignment="1">
      <alignment horizontal="left" vertical="top" wrapText="1"/>
    </xf>
    <xf numFmtId="168" fontId="16" fillId="0" borderId="0" xfId="0" applyNumberFormat="1" applyFont="1"/>
    <xf numFmtId="0" fontId="19" fillId="0" borderId="0" xfId="0" applyFont="1"/>
    <xf numFmtId="0" fontId="20" fillId="0" borderId="0" xfId="17" applyFont="1" applyAlignment="1">
      <alignment wrapText="1"/>
    </xf>
    <xf numFmtId="0" fontId="8" fillId="0" borderId="0" xfId="21" applyFont="1"/>
    <xf numFmtId="0" fontId="0" fillId="0" borderId="0" xfId="0" applyAlignment="1">
      <alignment horizontal="left"/>
    </xf>
    <xf numFmtId="0" fontId="21" fillId="12" borderId="0" xfId="0" applyFont="1" applyFill="1"/>
    <xf numFmtId="0" fontId="0" fillId="0" borderId="6" xfId="0" applyBorder="1" applyAlignment="1" applyProtection="1">
      <alignment horizontal="left" vertical="top"/>
      <protection locked="0"/>
    </xf>
    <xf numFmtId="0" fontId="23" fillId="0" borderId="0" xfId="17" applyFont="1" applyAlignment="1">
      <alignment wrapText="1"/>
    </xf>
    <xf numFmtId="0" fontId="16" fillId="0" borderId="23" xfId="0" applyFont="1" applyBorder="1" applyAlignment="1">
      <alignment horizontal="center" vertical="top"/>
    </xf>
    <xf numFmtId="0" fontId="0" fillId="0" borderId="7" xfId="0" applyBorder="1" applyAlignment="1">
      <alignment horizontal="left" vertical="top"/>
    </xf>
    <xf numFmtId="4" fontId="16" fillId="0" borderId="0" xfId="0" applyNumberFormat="1" applyFont="1"/>
    <xf numFmtId="0" fontId="0" fillId="3" borderId="6" xfId="0" applyFill="1" applyBorder="1" applyAlignment="1">
      <alignment horizontal="center" vertical="top"/>
    </xf>
    <xf numFmtId="0" fontId="25" fillId="13" borderId="32" xfId="0" applyFont="1" applyFill="1" applyBorder="1" applyAlignment="1" applyProtection="1">
      <alignment horizontal="center" vertical="center"/>
      <protection locked="0"/>
    </xf>
    <xf numFmtId="0" fontId="26" fillId="0" borderId="6" xfId="17" applyFont="1" applyBorder="1" applyAlignment="1">
      <alignment vertical="center" wrapText="1"/>
    </xf>
    <xf numFmtId="0" fontId="12" fillId="3" borderId="33" xfId="0" applyFont="1" applyFill="1" applyBorder="1"/>
    <xf numFmtId="0" fontId="8" fillId="0" borderId="0" xfId="0" applyFont="1"/>
    <xf numFmtId="0" fontId="7" fillId="0" borderId="6" xfId="0" applyFont="1" applyBorder="1" applyProtection="1">
      <protection locked="0"/>
    </xf>
    <xf numFmtId="0" fontId="0" fillId="0" borderId="10" xfId="0" applyBorder="1"/>
    <xf numFmtId="0" fontId="10" fillId="0" borderId="36" xfId="17" applyFont="1" applyBorder="1" applyAlignment="1">
      <alignment horizontal="center" vertical="center"/>
    </xf>
    <xf numFmtId="0" fontId="27" fillId="7" borderId="37" xfId="0" applyFont="1" applyFill="1" applyBorder="1" applyAlignment="1" applyProtection="1">
      <alignment vertical="top" wrapText="1"/>
      <protection locked="0"/>
    </xf>
    <xf numFmtId="0" fontId="0" fillId="0" borderId="7" xfId="0" applyBorder="1"/>
    <xf numFmtId="0" fontId="28" fillId="0" borderId="0" xfId="17" applyFont="1"/>
    <xf numFmtId="0" fontId="29" fillId="0" borderId="0" xfId="0" applyFont="1" applyAlignment="1">
      <alignment vertical="center"/>
    </xf>
    <xf numFmtId="0" fontId="25" fillId="0" borderId="0" xfId="0" applyFont="1" applyAlignment="1">
      <alignment horizontal="center"/>
    </xf>
    <xf numFmtId="0" fontId="25" fillId="15" borderId="27" xfId="0" applyFont="1" applyFill="1" applyBorder="1" applyAlignment="1" applyProtection="1">
      <alignment horizontal="left" vertical="top" wrapText="1"/>
      <protection locked="0"/>
    </xf>
    <xf numFmtId="1" fontId="30" fillId="0" borderId="39" xfId="22" applyNumberFormat="1" applyFont="1" applyBorder="1"/>
    <xf numFmtId="0" fontId="31" fillId="0" borderId="0" xfId="0" applyFont="1" applyAlignment="1">
      <alignment vertical="center"/>
    </xf>
    <xf numFmtId="169" fontId="0" fillId="0" borderId="40" xfId="0" applyNumberFormat="1" applyBorder="1" applyAlignment="1" applyProtection="1">
      <alignment horizontal="left" vertical="top"/>
      <protection locked="0"/>
    </xf>
    <xf numFmtId="0" fontId="0" fillId="0" borderId="26" xfId="0" applyBorder="1" applyAlignment="1">
      <alignment horizontal="left" vertical="top"/>
    </xf>
    <xf numFmtId="168" fontId="30" fillId="0" borderId="10" xfId="22" applyNumberFormat="1" applyFont="1" applyBorder="1"/>
    <xf numFmtId="1" fontId="30" fillId="0" borderId="42" xfId="22" applyNumberFormat="1" applyFont="1" applyBorder="1"/>
    <xf numFmtId="0" fontId="0" fillId="0" borderId="0" xfId="0" applyAlignment="1">
      <alignment horizontal="left" vertical="top"/>
    </xf>
    <xf numFmtId="0" fontId="0" fillId="0" borderId="6" xfId="0" applyBorder="1" applyAlignment="1">
      <alignment horizontal="left" vertical="top"/>
    </xf>
    <xf numFmtId="0" fontId="9" fillId="4" borderId="0" xfId="0" applyFont="1" applyFill="1" applyAlignment="1" applyProtection="1">
      <alignment vertical="top" wrapText="1"/>
      <protection locked="0"/>
    </xf>
    <xf numFmtId="167" fontId="16" fillId="0" borderId="0" xfId="0" applyNumberFormat="1" applyFont="1"/>
    <xf numFmtId="49" fontId="12" fillId="0" borderId="26" xfId="0" applyNumberFormat="1" applyFont="1" applyBorder="1" applyProtection="1">
      <protection locked="0"/>
    </xf>
    <xf numFmtId="0" fontId="0" fillId="0" borderId="0" xfId="0" applyAlignment="1">
      <alignment wrapText="1"/>
    </xf>
    <xf numFmtId="168" fontId="30" fillId="0" borderId="44" xfId="22" applyNumberFormat="1" applyFont="1" applyBorder="1"/>
    <xf numFmtId="0" fontId="0" fillId="17" borderId="0" xfId="0" applyFill="1" applyProtection="1">
      <protection locked="0"/>
    </xf>
    <xf numFmtId="0" fontId="1" fillId="0" borderId="23" xfId="1" applyBorder="1" applyAlignment="1" applyProtection="1">
      <alignment wrapText="1"/>
    </xf>
    <xf numFmtId="0" fontId="32" fillId="0" borderId="22" xfId="0" applyFont="1" applyBorder="1"/>
    <xf numFmtId="0" fontId="16" fillId="0" borderId="0" xfId="0" applyFont="1" applyAlignment="1">
      <alignment horizontal="center" vertical="top"/>
    </xf>
    <xf numFmtId="0" fontId="0" fillId="6" borderId="12" xfId="0" applyFill="1" applyBorder="1"/>
    <xf numFmtId="0" fontId="80" fillId="0" borderId="6" xfId="17" applyBorder="1" applyAlignment="1">
      <alignment horizontal="center" vertical="center"/>
    </xf>
    <xf numFmtId="0" fontId="10" fillId="0" borderId="6" xfId="17" applyFont="1" applyBorder="1" applyAlignment="1">
      <alignment vertical="center" wrapText="1"/>
    </xf>
    <xf numFmtId="0" fontId="0" fillId="0" borderId="40" xfId="0" applyBorder="1" applyAlignment="1" applyProtection="1">
      <alignment horizontal="left" vertical="top"/>
      <protection locked="0"/>
    </xf>
    <xf numFmtId="0" fontId="8" fillId="0" borderId="48" xfId="21" applyFont="1" applyBorder="1"/>
    <xf numFmtId="0" fontId="33" fillId="0" borderId="10" xfId="21" applyFont="1" applyBorder="1"/>
    <xf numFmtId="0" fontId="80" fillId="0" borderId="36" xfId="17" applyBorder="1" applyAlignment="1">
      <alignment horizontal="center" vertical="center"/>
    </xf>
    <xf numFmtId="0" fontId="10" fillId="0" borderId="6" xfId="17" applyFont="1" applyBorder="1" applyAlignment="1">
      <alignment vertical="top" wrapText="1"/>
    </xf>
    <xf numFmtId="0" fontId="0" fillId="0" borderId="25" xfId="0" applyBorder="1" applyProtection="1">
      <protection locked="0"/>
    </xf>
    <xf numFmtId="2" fontId="16" fillId="0" borderId="0" xfId="0" applyNumberFormat="1" applyFont="1"/>
    <xf numFmtId="0" fontId="12" fillId="0" borderId="26" xfId="0" applyFont="1" applyBorder="1" applyAlignment="1">
      <alignment horizontal="left" vertical="top"/>
    </xf>
    <xf numFmtId="0" fontId="22" fillId="0" borderId="53" xfId="0" applyFont="1" applyBorder="1" applyAlignment="1" applyProtection="1">
      <alignment horizontal="left" vertical="top" wrapText="1"/>
      <protection locked="0"/>
    </xf>
    <xf numFmtId="0" fontId="7" fillId="0" borderId="29" xfId="0" applyFont="1" applyBorder="1" applyProtection="1">
      <protection locked="0"/>
    </xf>
    <xf numFmtId="0" fontId="0" fillId="0" borderId="6" xfId="0" applyBorder="1" applyAlignment="1">
      <alignment horizontal="center" vertical="center"/>
    </xf>
    <xf numFmtId="0" fontId="0" fillId="0" borderId="6" xfId="0" applyBorder="1" applyAlignment="1">
      <alignment vertical="top"/>
    </xf>
    <xf numFmtId="0" fontId="0" fillId="0" borderId="54" xfId="0" applyBorder="1" applyAlignment="1" applyProtection="1">
      <alignment wrapText="1"/>
      <protection locked="0"/>
    </xf>
    <xf numFmtId="0" fontId="12" fillId="0" borderId="23" xfId="0" applyFont="1" applyBorder="1" applyAlignment="1">
      <alignment horizontal="left" vertical="top"/>
    </xf>
    <xf numFmtId="0" fontId="35" fillId="3" borderId="6" xfId="0" applyFont="1" applyFill="1" applyBorder="1" applyAlignment="1">
      <alignment horizontal="center" vertical="top"/>
    </xf>
    <xf numFmtId="0" fontId="12" fillId="18" borderId="17" xfId="0" applyFont="1" applyFill="1" applyBorder="1" applyAlignment="1" applyProtection="1">
      <alignment horizontal="left" vertical="top"/>
      <protection locked="0"/>
    </xf>
    <xf numFmtId="0" fontId="2" fillId="2" borderId="10" xfId="2" applyBorder="1" applyAlignment="1"/>
    <xf numFmtId="0" fontId="8" fillId="0" borderId="10" xfId="19" applyFont="1" applyBorder="1"/>
    <xf numFmtId="0" fontId="16" fillId="0" borderId="6" xfId="0" applyFont="1" applyBorder="1" applyAlignment="1">
      <alignment horizontal="center" vertical="top"/>
    </xf>
    <xf numFmtId="167" fontId="0" fillId="0" borderId="53" xfId="0" applyNumberFormat="1" applyBorder="1" applyAlignment="1" applyProtection="1">
      <alignment horizontal="left" vertical="top"/>
      <protection locked="0"/>
    </xf>
    <xf numFmtId="0" fontId="10" fillId="0" borderId="0" xfId="0" applyFont="1"/>
    <xf numFmtId="0" fontId="0" fillId="0" borderId="6" xfId="0" applyBorder="1" applyAlignment="1">
      <alignment horizontal="center"/>
    </xf>
    <xf numFmtId="49" fontId="0" fillId="0" borderId="40" xfId="0" applyNumberFormat="1" applyBorder="1" applyAlignment="1" applyProtection="1">
      <alignment horizontal="left" vertical="top"/>
      <protection locked="0"/>
    </xf>
    <xf numFmtId="0" fontId="12" fillId="0" borderId="57" xfId="0" applyFont="1" applyBorder="1" applyAlignment="1" applyProtection="1">
      <alignment horizontal="left" vertical="top" wrapText="1"/>
      <protection locked="0"/>
    </xf>
    <xf numFmtId="169" fontId="0" fillId="0" borderId="6" xfId="0" applyNumberFormat="1" applyBorder="1" applyAlignment="1" applyProtection="1">
      <alignment horizontal="left" vertical="top"/>
      <protection locked="0"/>
    </xf>
    <xf numFmtId="0" fontId="36" fillId="0" borderId="0" xfId="17" applyFont="1" applyAlignment="1">
      <alignment horizontal="center" wrapText="1"/>
    </xf>
    <xf numFmtId="0" fontId="12" fillId="0" borderId="6" xfId="0" applyFont="1" applyBorder="1" applyProtection="1">
      <protection locked="0"/>
    </xf>
    <xf numFmtId="0" fontId="25" fillId="7" borderId="31" xfId="0" applyFont="1" applyFill="1" applyBorder="1" applyAlignment="1" applyProtection="1">
      <alignment horizontal="left" vertical="center" textRotation="255"/>
      <protection locked="0"/>
    </xf>
    <xf numFmtId="0" fontId="20" fillId="0" borderId="26" xfId="17" applyFont="1" applyBorder="1" applyAlignment="1">
      <alignment wrapText="1"/>
    </xf>
    <xf numFmtId="0" fontId="9" fillId="4" borderId="37" xfId="0" applyFont="1" applyFill="1" applyBorder="1" applyAlignment="1" applyProtection="1">
      <alignment vertical="top" wrapText="1"/>
      <protection locked="0"/>
    </xf>
    <xf numFmtId="0" fontId="12" fillId="0" borderId="6" xfId="0" applyFont="1" applyBorder="1" applyAlignment="1">
      <alignment vertical="top"/>
    </xf>
    <xf numFmtId="4" fontId="16" fillId="19" borderId="22" xfId="0" applyNumberFormat="1" applyFont="1" applyFill="1" applyBorder="1" applyAlignment="1">
      <alignment vertical="top"/>
    </xf>
    <xf numFmtId="0" fontId="12" fillId="0" borderId="13" xfId="0" applyFont="1" applyBorder="1" applyAlignment="1">
      <alignment horizontal="left" vertical="top"/>
    </xf>
    <xf numFmtId="0" fontId="12" fillId="0" borderId="6" xfId="0" applyFont="1" applyBorder="1" applyAlignment="1">
      <alignment horizontal="center"/>
    </xf>
    <xf numFmtId="0" fontId="11" fillId="8" borderId="6" xfId="0" applyFont="1" applyFill="1" applyBorder="1" applyAlignment="1">
      <alignment horizontal="center"/>
    </xf>
    <xf numFmtId="167" fontId="0" fillId="0" borderId="14" xfId="0" applyNumberFormat="1" applyBorder="1" applyAlignment="1" applyProtection="1">
      <alignment horizontal="left" vertical="top"/>
      <protection locked="0"/>
    </xf>
    <xf numFmtId="0" fontId="24" fillId="0" borderId="6" xfId="0" applyFont="1" applyBorder="1" applyAlignment="1">
      <alignment horizontal="left" vertical="top" wrapText="1"/>
    </xf>
    <xf numFmtId="0" fontId="33" fillId="0" borderId="0" xfId="0" applyFont="1" applyAlignment="1">
      <alignment horizontal="left"/>
    </xf>
    <xf numFmtId="0" fontId="7" fillId="0" borderId="29" xfId="0" applyFont="1" applyBorder="1"/>
    <xf numFmtId="0" fontId="12" fillId="18" borderId="6" xfId="0" applyFont="1" applyFill="1" applyBorder="1" applyAlignment="1" applyProtection="1">
      <alignment horizontal="left" vertical="top"/>
      <protection locked="0"/>
    </xf>
    <xf numFmtId="49" fontId="0" fillId="0" borderId="53" xfId="0" applyNumberFormat="1" applyBorder="1" applyAlignment="1">
      <alignment horizontal="left" vertical="top"/>
    </xf>
    <xf numFmtId="2" fontId="0" fillId="0" borderId="6" xfId="0" applyNumberFormat="1" applyBorder="1" applyAlignment="1">
      <alignment horizontal="left" vertical="top"/>
    </xf>
    <xf numFmtId="0" fontId="0" fillId="0" borderId="0" xfId="0" applyAlignment="1" applyProtection="1">
      <alignment horizontal="left" vertical="top"/>
      <protection locked="0"/>
    </xf>
    <xf numFmtId="0" fontId="12" fillId="0" borderId="6" xfId="0" applyFont="1" applyBorder="1"/>
    <xf numFmtId="1" fontId="80" fillId="0" borderId="6" xfId="17" applyNumberFormat="1" applyBorder="1" applyAlignment="1">
      <alignment horizontal="center"/>
    </xf>
    <xf numFmtId="2" fontId="30" fillId="0" borderId="10" xfId="22" applyNumberFormat="1" applyFont="1" applyBorder="1"/>
    <xf numFmtId="169" fontId="0" fillId="0" borderId="7" xfId="0" applyNumberFormat="1" applyBorder="1" applyAlignment="1" applyProtection="1">
      <alignment horizontal="left" vertical="top"/>
      <protection locked="0"/>
    </xf>
    <xf numFmtId="0" fontId="12" fillId="0" borderId="3" xfId="0" applyFont="1" applyBorder="1" applyAlignment="1" applyProtection="1">
      <alignment horizontal="left" vertical="top" wrapText="1"/>
      <protection locked="0"/>
    </xf>
    <xf numFmtId="0" fontId="37" fillId="0" borderId="0" xfId="0" applyFont="1"/>
    <xf numFmtId="0" fontId="38" fillId="16" borderId="0" xfId="0" applyFont="1" applyFill="1" applyAlignment="1">
      <alignment horizontal="center" vertical="center"/>
    </xf>
    <xf numFmtId="0" fontId="11" fillId="0" borderId="0" xfId="0" applyFont="1"/>
    <xf numFmtId="49" fontId="39" fillId="0" borderId="6" xfId="0" applyNumberFormat="1" applyFont="1" applyBorder="1" applyAlignment="1">
      <alignment horizontal="left" vertical="top"/>
    </xf>
    <xf numFmtId="167" fontId="30" fillId="0" borderId="10" xfId="22" applyNumberFormat="1" applyFont="1" applyBorder="1"/>
    <xf numFmtId="2" fontId="30" fillId="0" borderId="44" xfId="22" applyNumberFormat="1" applyFont="1" applyBorder="1"/>
    <xf numFmtId="0" fontId="40" fillId="0" borderId="0" xfId="0" applyFont="1" applyAlignment="1">
      <alignment vertical="center"/>
    </xf>
    <xf numFmtId="0" fontId="7" fillId="0" borderId="60" xfId="0" applyFont="1" applyBorder="1" applyProtection="1">
      <protection locked="0"/>
    </xf>
    <xf numFmtId="1" fontId="30" fillId="0" borderId="10" xfId="22" applyNumberFormat="1" applyFont="1" applyBorder="1"/>
    <xf numFmtId="0" fontId="25" fillId="13" borderId="23" xfId="0" applyFont="1" applyFill="1" applyBorder="1" applyAlignment="1" applyProtection="1">
      <alignment horizontal="center" vertical="center" wrapText="1"/>
      <protection locked="0"/>
    </xf>
    <xf numFmtId="167" fontId="30" fillId="0" borderId="44" xfId="22" applyNumberFormat="1" applyFont="1" applyBorder="1"/>
    <xf numFmtId="0" fontId="2" fillId="2" borderId="0" xfId="2"/>
    <xf numFmtId="0" fontId="0" fillId="12" borderId="0" xfId="0" applyFill="1"/>
    <xf numFmtId="0" fontId="35" fillId="0" borderId="6" xfId="0" applyFont="1" applyBorder="1" applyAlignment="1">
      <alignment horizontal="center" vertical="top"/>
    </xf>
    <xf numFmtId="1" fontId="30" fillId="0" borderId="44" xfId="22" applyNumberFormat="1" applyFont="1" applyBorder="1"/>
    <xf numFmtId="0" fontId="0" fillId="0" borderId="6" xfId="0" applyBorder="1"/>
    <xf numFmtId="49" fontId="0" fillId="0" borderId="6" xfId="0" applyNumberFormat="1" applyBorder="1" applyAlignment="1" applyProtection="1">
      <alignment horizontal="left" vertical="top"/>
      <protection locked="0"/>
    </xf>
    <xf numFmtId="49" fontId="0" fillId="0" borderId="0" xfId="0" applyNumberFormat="1" applyAlignment="1" applyProtection="1">
      <alignment horizontal="left" vertical="top"/>
      <protection locked="0"/>
    </xf>
    <xf numFmtId="0" fontId="0" fillId="0" borderId="6" xfId="0" applyBorder="1" applyAlignment="1" applyProtection="1">
      <alignment wrapText="1"/>
      <protection locked="0"/>
    </xf>
    <xf numFmtId="1" fontId="16" fillId="0" borderId="34" xfId="0" applyNumberFormat="1" applyFont="1" applyBorder="1"/>
    <xf numFmtId="0" fontId="0" fillId="0" borderId="12" xfId="0" applyBorder="1"/>
    <xf numFmtId="49" fontId="0" fillId="0" borderId="36" xfId="0" applyNumberFormat="1" applyBorder="1" applyAlignment="1" applyProtection="1">
      <alignment horizontal="left" vertical="top"/>
      <protection locked="0"/>
    </xf>
    <xf numFmtId="1" fontId="0" fillId="0" borderId="6" xfId="0" applyNumberFormat="1" applyBorder="1" applyAlignment="1">
      <alignment horizontal="left" vertical="top"/>
    </xf>
    <xf numFmtId="0" fontId="0" fillId="0" borderId="37" xfId="0" applyBorder="1" applyProtection="1">
      <protection locked="0"/>
    </xf>
    <xf numFmtId="0" fontId="7" fillId="0" borderId="52" xfId="0" applyFont="1" applyBorder="1" applyAlignment="1" applyProtection="1">
      <alignment wrapText="1"/>
      <protection locked="0"/>
    </xf>
    <xf numFmtId="0" fontId="38" fillId="0" borderId="0" xfId="0" applyFont="1" applyAlignment="1">
      <alignment vertical="center"/>
    </xf>
    <xf numFmtId="169" fontId="0" fillId="0" borderId="54" xfId="0" applyNumberFormat="1" applyBorder="1" applyAlignment="1" applyProtection="1">
      <alignment horizontal="left" vertical="top"/>
      <protection locked="0"/>
    </xf>
    <xf numFmtId="0" fontId="41" fillId="14" borderId="18" xfId="0" applyFont="1" applyFill="1" applyBorder="1" applyAlignment="1">
      <alignment horizontal="center"/>
    </xf>
    <xf numFmtId="0" fontId="7" fillId="0" borderId="13" xfId="0" applyFont="1" applyBorder="1" applyProtection="1">
      <protection locked="0"/>
    </xf>
    <xf numFmtId="0" fontId="12" fillId="20" borderId="0" xfId="0" applyFont="1" applyFill="1" applyAlignment="1">
      <alignment wrapText="1"/>
    </xf>
    <xf numFmtId="0" fontId="0" fillId="0" borderId="64" xfId="0" applyBorder="1" applyAlignment="1">
      <alignment horizontal="left" vertical="top"/>
    </xf>
    <xf numFmtId="0" fontId="8" fillId="0" borderId="10" xfId="19" applyFont="1" applyBorder="1" applyAlignment="1">
      <alignment horizontal="left"/>
    </xf>
    <xf numFmtId="167" fontId="0" fillId="0" borderId="64" xfId="0" applyNumberFormat="1" applyBorder="1" applyAlignment="1" applyProtection="1">
      <alignment horizontal="left" vertical="top"/>
      <protection locked="0"/>
    </xf>
    <xf numFmtId="0" fontId="25" fillId="7" borderId="8" xfId="0" applyFont="1" applyFill="1" applyBorder="1" applyAlignment="1" applyProtection="1">
      <alignment horizontal="left" vertical="top" wrapText="1"/>
      <protection locked="0"/>
    </xf>
    <xf numFmtId="0" fontId="7" fillId="0" borderId="53" xfId="0" applyFont="1" applyBorder="1" applyAlignment="1" applyProtection="1">
      <alignment horizontal="left"/>
      <protection locked="0"/>
    </xf>
    <xf numFmtId="0" fontId="12" fillId="0" borderId="65" xfId="0" applyFont="1" applyBorder="1" applyAlignment="1" applyProtection="1">
      <alignment horizontal="left" vertical="top"/>
      <protection locked="0"/>
    </xf>
    <xf numFmtId="0" fontId="42" fillId="0" borderId="0" xfId="17" applyFont="1" applyAlignment="1">
      <alignment wrapText="1"/>
    </xf>
    <xf numFmtId="0" fontId="8" fillId="0" borderId="10" xfId="21" applyFont="1" applyBorder="1"/>
    <xf numFmtId="0" fontId="13" fillId="0" borderId="0" xfId="0" applyFont="1"/>
    <xf numFmtId="49" fontId="0" fillId="0" borderId="7" xfId="0" applyNumberFormat="1" applyBorder="1" applyAlignment="1" applyProtection="1">
      <alignment horizontal="left" vertical="top"/>
      <protection locked="0"/>
    </xf>
    <xf numFmtId="49" fontId="0" fillId="0" borderId="45" xfId="0" applyNumberFormat="1" applyBorder="1" applyAlignment="1" applyProtection="1">
      <alignment horizontal="left" vertical="top"/>
      <protection locked="0"/>
    </xf>
    <xf numFmtId="0" fontId="43" fillId="0" borderId="0" xfId="0" applyFont="1" applyAlignment="1">
      <alignment horizontal="center" vertical="center"/>
    </xf>
    <xf numFmtId="1" fontId="30" fillId="0" borderId="66" xfId="22" applyNumberFormat="1" applyFont="1" applyBorder="1"/>
    <xf numFmtId="4" fontId="30" fillId="0" borderId="10" xfId="22" applyNumberFormat="1" applyFont="1" applyBorder="1"/>
    <xf numFmtId="0" fontId="44" fillId="0" borderId="0" xfId="0" applyFont="1" applyAlignment="1">
      <alignment vertical="center"/>
    </xf>
    <xf numFmtId="0" fontId="8" fillId="0" borderId="5" xfId="21" applyFont="1" applyBorder="1"/>
    <xf numFmtId="167" fontId="16" fillId="0" borderId="22" xfId="0" applyNumberFormat="1" applyFont="1" applyBorder="1"/>
    <xf numFmtId="0" fontId="0" fillId="0" borderId="67" xfId="0" applyBorder="1" applyProtection="1">
      <protection locked="0"/>
    </xf>
    <xf numFmtId="169" fontId="0" fillId="0" borderId="43" xfId="0" applyNumberFormat="1" applyBorder="1" applyAlignment="1" applyProtection="1">
      <alignment horizontal="left" vertical="top"/>
      <protection locked="0"/>
    </xf>
    <xf numFmtId="1" fontId="30" fillId="0" borderId="68" xfId="22" applyNumberFormat="1" applyFont="1" applyBorder="1"/>
    <xf numFmtId="4" fontId="30" fillId="0" borderId="44" xfId="22" applyNumberFormat="1" applyFont="1" applyBorder="1"/>
    <xf numFmtId="0" fontId="0" fillId="11" borderId="36" xfId="0" applyFill="1" applyBorder="1"/>
    <xf numFmtId="0" fontId="0" fillId="11" borderId="26" xfId="0" applyFill="1" applyBorder="1"/>
    <xf numFmtId="0" fontId="16" fillId="0" borderId="22" xfId="0" applyFont="1" applyBorder="1" applyAlignment="1">
      <alignment vertical="top"/>
    </xf>
    <xf numFmtId="0" fontId="12" fillId="20" borderId="0" xfId="0" applyFont="1" applyFill="1"/>
    <xf numFmtId="0" fontId="0" fillId="9" borderId="6" xfId="0" applyFill="1" applyBorder="1"/>
    <xf numFmtId="0" fontId="7" fillId="21" borderId="29" xfId="0" applyFont="1" applyFill="1" applyBorder="1" applyProtection="1">
      <protection locked="0"/>
    </xf>
    <xf numFmtId="0" fontId="45" fillId="0" borderId="10" xfId="21" applyFont="1" applyBorder="1"/>
    <xf numFmtId="49" fontId="0" fillId="0" borderId="54" xfId="0" applyNumberFormat="1" applyBorder="1" applyAlignment="1" applyProtection="1">
      <alignment horizontal="left" vertical="top"/>
      <protection locked="0"/>
    </xf>
    <xf numFmtId="0" fontId="16" fillId="0" borderId="0" xfId="0" applyFont="1"/>
    <xf numFmtId="2" fontId="16" fillId="0" borderId="22" xfId="0" applyNumberFormat="1" applyFont="1" applyBorder="1"/>
    <xf numFmtId="0" fontId="7" fillId="0" borderId="17" xfId="0" applyFont="1" applyBorder="1" applyAlignment="1" applyProtection="1">
      <alignment wrapText="1"/>
      <protection locked="0"/>
    </xf>
    <xf numFmtId="0" fontId="0" fillId="17" borderId="70" xfId="0" applyFill="1" applyBorder="1" applyProtection="1">
      <protection locked="0"/>
    </xf>
    <xf numFmtId="0" fontId="8" fillId="0" borderId="0" xfId="19" applyFont="1"/>
    <xf numFmtId="0" fontId="26" fillId="0" borderId="18" xfId="0" applyFont="1" applyBorder="1" applyAlignment="1" applyProtection="1">
      <alignment horizontal="center"/>
      <protection locked="0"/>
    </xf>
    <xf numFmtId="0" fontId="0" fillId="0" borderId="0" xfId="0" applyAlignment="1">
      <alignment horizontal="center"/>
    </xf>
    <xf numFmtId="0" fontId="8" fillId="12" borderId="0" xfId="19" applyFont="1" applyFill="1" applyAlignment="1">
      <alignment horizontal="left"/>
    </xf>
    <xf numFmtId="0" fontId="11" fillId="5" borderId="0" xfId="0" applyFont="1" applyFill="1"/>
    <xf numFmtId="169" fontId="0" fillId="0" borderId="53" xfId="0" applyNumberFormat="1" applyBorder="1" applyAlignment="1" applyProtection="1">
      <alignment horizontal="left" vertical="top"/>
      <protection locked="0"/>
    </xf>
    <xf numFmtId="0" fontId="26" fillId="0" borderId="53" xfId="0" applyFont="1" applyBorder="1" applyAlignment="1" applyProtection="1">
      <alignment vertical="top" wrapText="1"/>
      <protection locked="0"/>
    </xf>
    <xf numFmtId="0" fontId="46" fillId="0" borderId="22" xfId="0" applyFont="1" applyBorder="1" applyAlignment="1">
      <alignment vertical="top"/>
    </xf>
    <xf numFmtId="0" fontId="47" fillId="0" borderId="0" xfId="0" applyFont="1"/>
    <xf numFmtId="169" fontId="0" fillId="0" borderId="9" xfId="0" applyNumberFormat="1" applyBorder="1" applyAlignment="1" applyProtection="1">
      <alignment horizontal="left" vertical="top"/>
      <protection locked="0"/>
    </xf>
    <xf numFmtId="0" fontId="0" fillId="22" borderId="6" xfId="0" applyFill="1" applyBorder="1" applyAlignment="1">
      <alignment horizontal="left" vertical="top"/>
    </xf>
    <xf numFmtId="0" fontId="38" fillId="10" borderId="0" xfId="0" applyFont="1" applyFill="1" applyAlignment="1">
      <alignment horizontal="center" vertical="center"/>
    </xf>
    <xf numFmtId="0" fontId="33" fillId="0" borderId="0" xfId="0" applyFont="1"/>
    <xf numFmtId="0" fontId="48" fillId="0" borderId="0" xfId="0" applyFont="1" applyAlignment="1">
      <alignment horizontal="left"/>
    </xf>
    <xf numFmtId="0" fontId="0" fillId="0" borderId="70" xfId="0" applyBorder="1" applyProtection="1">
      <protection locked="0"/>
    </xf>
    <xf numFmtId="0" fontId="49" fillId="0" borderId="0" xfId="17" applyFont="1"/>
    <xf numFmtId="0" fontId="11" fillId="0" borderId="0" xfId="0" applyFont="1" applyAlignment="1">
      <alignment horizontal="center"/>
    </xf>
    <xf numFmtId="0" fontId="0" fillId="0" borderId="63" xfId="0" applyBorder="1" applyProtection="1">
      <protection locked="0"/>
    </xf>
    <xf numFmtId="168" fontId="50" fillId="0" borderId="6" xfId="0" applyNumberFormat="1" applyFont="1" applyBorder="1" applyAlignment="1">
      <alignment horizontal="left" vertical="top"/>
    </xf>
    <xf numFmtId="0" fontId="20" fillId="0" borderId="6" xfId="17" applyFont="1" applyBorder="1" applyAlignment="1">
      <alignment vertical="top" wrapText="1"/>
    </xf>
    <xf numFmtId="0" fontId="7" fillId="0" borderId="52" xfId="0" applyFont="1" applyBorder="1" applyProtection="1">
      <protection locked="0"/>
    </xf>
    <xf numFmtId="0" fontId="0" fillId="17" borderId="0" xfId="0" applyFill="1" applyAlignment="1">
      <alignment horizontal="center"/>
    </xf>
    <xf numFmtId="0" fontId="20" fillId="0" borderId="36" xfId="17" applyFont="1" applyBorder="1" applyAlignment="1">
      <alignment vertical="top" wrapText="1"/>
    </xf>
    <xf numFmtId="0" fontId="12" fillId="0" borderId="0" xfId="0" applyFont="1" applyAlignment="1">
      <alignment horizontal="center"/>
    </xf>
    <xf numFmtId="0" fontId="51" fillId="0" borderId="6" xfId="0" applyFont="1" applyBorder="1" applyAlignment="1">
      <alignment horizontal="left" vertical="top" wrapText="1"/>
    </xf>
    <xf numFmtId="0" fontId="20" fillId="0" borderId="6" xfId="17" applyFont="1" applyBorder="1" applyAlignment="1">
      <alignment vertical="center" wrapText="1"/>
    </xf>
    <xf numFmtId="0" fontId="80" fillId="0" borderId="0" xfId="17" applyAlignment="1">
      <alignment horizontal="center" vertical="center"/>
    </xf>
    <xf numFmtId="0" fontId="12" fillId="8" borderId="56" xfId="0" applyFont="1" applyFill="1" applyBorder="1" applyAlignment="1">
      <alignment horizontal="center"/>
    </xf>
    <xf numFmtId="0" fontId="12" fillId="3" borderId="23" xfId="0" applyFont="1" applyFill="1" applyBorder="1" applyAlignment="1">
      <alignment vertical="center" wrapText="1"/>
    </xf>
    <xf numFmtId="169" fontId="0" fillId="0" borderId="14" xfId="0" applyNumberFormat="1" applyBorder="1" applyAlignment="1" applyProtection="1">
      <alignment horizontal="left" vertical="top"/>
      <protection locked="0"/>
    </xf>
    <xf numFmtId="0" fontId="8" fillId="0" borderId="0" xfId="20" applyFont="1"/>
    <xf numFmtId="0" fontId="20" fillId="0" borderId="6" xfId="17" applyFont="1" applyBorder="1" applyAlignment="1">
      <alignment wrapText="1"/>
    </xf>
    <xf numFmtId="1" fontId="80" fillId="0" borderId="0" xfId="17" applyNumberFormat="1" applyAlignment="1">
      <alignment horizontal="center"/>
    </xf>
    <xf numFmtId="0" fontId="12" fillId="3" borderId="23" xfId="0" applyFont="1" applyFill="1" applyBorder="1" applyAlignment="1">
      <alignment horizontal="center" vertical="center" wrapText="1"/>
    </xf>
    <xf numFmtId="0" fontId="0" fillId="0" borderId="0" xfId="0" applyAlignment="1" applyProtection="1">
      <alignment wrapText="1"/>
      <protection locked="0"/>
    </xf>
    <xf numFmtId="0" fontId="0" fillId="3" borderId="3" xfId="0" applyFill="1" applyBorder="1"/>
    <xf numFmtId="0" fontId="25" fillId="13" borderId="65" xfId="0" applyFont="1" applyFill="1" applyBorder="1" applyAlignment="1" applyProtection="1">
      <alignment horizontal="center" wrapText="1"/>
      <protection locked="0"/>
    </xf>
    <xf numFmtId="0" fontId="0" fillId="0" borderId="48" xfId="0" applyBorder="1"/>
    <xf numFmtId="0" fontId="12" fillId="3" borderId="26" xfId="0" applyFont="1" applyFill="1" applyBorder="1" applyAlignment="1">
      <alignment horizontal="center" vertical="center" wrapText="1"/>
    </xf>
    <xf numFmtId="0" fontId="9" fillId="4" borderId="16" xfId="0" applyFont="1" applyFill="1" applyBorder="1" applyAlignment="1" applyProtection="1">
      <alignment vertical="top" wrapText="1"/>
      <protection locked="0"/>
    </xf>
    <xf numFmtId="0" fontId="0" fillId="0" borderId="54" xfId="0" applyBorder="1" applyAlignment="1" applyProtection="1">
      <alignment horizontal="left" vertical="top"/>
      <protection locked="0"/>
    </xf>
    <xf numFmtId="0" fontId="16" fillId="0" borderId="71" xfId="0" applyFont="1" applyBorder="1"/>
    <xf numFmtId="0" fontId="25" fillId="14" borderId="18" xfId="0" applyFont="1" applyFill="1" applyBorder="1" applyAlignment="1">
      <alignment horizontal="center"/>
    </xf>
    <xf numFmtId="0" fontId="12" fillId="0" borderId="72" xfId="0" applyFont="1" applyBorder="1" applyAlignment="1" applyProtection="1">
      <alignment horizontal="center"/>
      <protection locked="0"/>
    </xf>
    <xf numFmtId="49" fontId="0" fillId="0" borderId="53" xfId="0" applyNumberFormat="1" applyBorder="1" applyAlignment="1" applyProtection="1">
      <alignment horizontal="left" vertical="top"/>
      <protection locked="0"/>
    </xf>
    <xf numFmtId="0" fontId="0" fillId="3" borderId="63" xfId="0" applyFill="1" applyBorder="1" applyAlignment="1">
      <alignment vertical="top"/>
    </xf>
    <xf numFmtId="167" fontId="0" fillId="0" borderId="6" xfId="0" applyNumberFormat="1" applyBorder="1" applyAlignment="1" applyProtection="1">
      <alignment horizontal="left" vertical="top"/>
      <protection locked="0"/>
    </xf>
    <xf numFmtId="0" fontId="48" fillId="0" borderId="0" xfId="0" applyFont="1"/>
    <xf numFmtId="0" fontId="12" fillId="8" borderId="43" xfId="0" applyFont="1" applyFill="1" applyBorder="1" applyAlignment="1">
      <alignment horizontal="center"/>
    </xf>
    <xf numFmtId="167" fontId="0" fillId="0" borderId="26" xfId="0" applyNumberFormat="1" applyBorder="1" applyAlignment="1" applyProtection="1">
      <alignment horizontal="left" vertical="top"/>
      <protection locked="0"/>
    </xf>
    <xf numFmtId="0" fontId="80" fillId="0" borderId="0" xfId="17"/>
    <xf numFmtId="0" fontId="30" fillId="0" borderId="0" xfId="22" applyFont="1"/>
    <xf numFmtId="0" fontId="38" fillId="24" borderId="0" xfId="0" applyFont="1" applyFill="1" applyAlignment="1">
      <alignment horizontal="center" vertical="center"/>
    </xf>
    <xf numFmtId="1" fontId="0" fillId="0" borderId="6" xfId="0" applyNumberFormat="1" applyBorder="1" applyAlignment="1" applyProtection="1">
      <alignment horizontal="left" vertical="top"/>
      <protection locked="0"/>
    </xf>
    <xf numFmtId="2" fontId="0" fillId="0" borderId="6" xfId="0" applyNumberFormat="1" applyBorder="1" applyAlignment="1" applyProtection="1">
      <alignment horizontal="left" vertical="top"/>
      <protection locked="0"/>
    </xf>
    <xf numFmtId="49" fontId="12" fillId="0" borderId="6" xfId="0" applyNumberFormat="1" applyFont="1" applyBorder="1" applyAlignment="1" applyProtection="1">
      <alignment horizontal="left" vertical="top"/>
      <protection locked="0"/>
    </xf>
    <xf numFmtId="49" fontId="39" fillId="0" borderId="6" xfId="0" applyNumberFormat="1" applyFont="1" applyBorder="1" applyAlignment="1" applyProtection="1">
      <alignment horizontal="left" vertical="top"/>
      <protection locked="0"/>
    </xf>
    <xf numFmtId="168" fontId="50" fillId="0" borderId="6" xfId="0" applyNumberFormat="1" applyFont="1" applyBorder="1" applyAlignment="1" applyProtection="1">
      <alignment horizontal="left" vertical="top"/>
      <protection locked="0"/>
    </xf>
    <xf numFmtId="166" fontId="0" fillId="0" borderId="6" xfId="0" applyNumberFormat="1" applyBorder="1" applyAlignment="1" applyProtection="1">
      <alignment horizontal="left" vertical="top"/>
      <protection locked="0"/>
    </xf>
    <xf numFmtId="0" fontId="25" fillId="14" borderId="11" xfId="0" applyFont="1" applyFill="1" applyBorder="1" applyAlignment="1">
      <alignment horizontal="center"/>
    </xf>
    <xf numFmtId="0" fontId="25" fillId="14" borderId="56" xfId="0" applyFont="1" applyFill="1" applyBorder="1" applyAlignment="1">
      <alignment horizontal="center"/>
    </xf>
    <xf numFmtId="0" fontId="25" fillId="14" borderId="43" xfId="0" applyFont="1" applyFill="1" applyBorder="1" applyAlignment="1">
      <alignment horizontal="center"/>
    </xf>
    <xf numFmtId="0" fontId="0" fillId="23" borderId="6" xfId="0" applyFill="1" applyBorder="1" applyAlignment="1">
      <alignment horizontal="left" vertical="top"/>
    </xf>
    <xf numFmtId="0" fontId="10" fillId="0" borderId="0" xfId="0" applyFont="1" applyAlignment="1">
      <alignment horizontal="center"/>
    </xf>
    <xf numFmtId="0" fontId="10" fillId="0" borderId="18" xfId="0" applyFont="1" applyBorder="1" applyAlignment="1">
      <alignment horizontal="center"/>
    </xf>
    <xf numFmtId="0" fontId="0" fillId="0" borderId="63" xfId="0" applyBorder="1" applyAlignment="1" applyProtection="1">
      <alignment horizontal="center"/>
      <protection locked="0"/>
    </xf>
    <xf numFmtId="0" fontId="0" fillId="0" borderId="8" xfId="0" applyBorder="1" applyAlignment="1" applyProtection="1">
      <alignment horizontal="center"/>
      <protection locked="0"/>
    </xf>
    <xf numFmtId="0" fontId="0" fillId="0" borderId="17" xfId="0" applyBorder="1" applyAlignment="1" applyProtection="1">
      <alignment horizontal="center"/>
      <protection locked="0"/>
    </xf>
    <xf numFmtId="0" fontId="11" fillId="8" borderId="63" xfId="0" applyFont="1" applyFill="1" applyBorder="1" applyAlignment="1">
      <alignment horizontal="center"/>
    </xf>
    <xf numFmtId="0" fontId="11" fillId="8" borderId="8" xfId="0" applyFont="1" applyFill="1" applyBorder="1" applyAlignment="1">
      <alignment horizontal="center"/>
    </xf>
    <xf numFmtId="0" fontId="11" fillId="8" borderId="17" xfId="0" applyFont="1" applyFill="1" applyBorder="1" applyAlignment="1">
      <alignment horizontal="center"/>
    </xf>
    <xf numFmtId="0" fontId="34" fillId="14" borderId="0" xfId="0" applyFont="1" applyFill="1" applyAlignment="1">
      <alignment horizontal="center" vertical="center"/>
    </xf>
    <xf numFmtId="0" fontId="7" fillId="4" borderId="37" xfId="0" applyFont="1" applyFill="1" applyBorder="1" applyAlignment="1" applyProtection="1">
      <alignment vertical="top" wrapText="1"/>
      <protection locked="0"/>
    </xf>
    <xf numFmtId="0" fontId="7" fillId="4" borderId="21" xfId="0" applyFont="1" applyFill="1" applyBorder="1" applyAlignment="1" applyProtection="1">
      <alignment vertical="top" wrapText="1"/>
      <protection locked="0"/>
    </xf>
    <xf numFmtId="0" fontId="15" fillId="3" borderId="62" xfId="0" applyFont="1" applyFill="1" applyBorder="1" applyAlignment="1" applyProtection="1">
      <alignment vertical="top" wrapText="1"/>
      <protection locked="0"/>
    </xf>
    <xf numFmtId="0" fontId="7" fillId="3" borderId="27" xfId="0" applyFont="1" applyFill="1" applyBorder="1" applyAlignment="1" applyProtection="1">
      <alignment vertical="top"/>
      <protection locked="0"/>
    </xf>
    <xf numFmtId="0" fontId="7" fillId="3" borderId="51" xfId="0" applyFont="1" applyFill="1" applyBorder="1" applyAlignment="1" applyProtection="1">
      <alignment vertical="top"/>
      <protection locked="0"/>
    </xf>
    <xf numFmtId="0" fontId="7" fillId="0" borderId="55" xfId="0" applyFont="1" applyBorder="1" applyAlignment="1" applyProtection="1">
      <alignment horizontal="left" vertical="top" wrapText="1"/>
      <protection locked="0"/>
    </xf>
    <xf numFmtId="0" fontId="7" fillId="0" borderId="1" xfId="0" applyFont="1" applyBorder="1" applyAlignment="1" applyProtection="1">
      <alignment horizontal="left" vertical="top"/>
      <protection locked="0"/>
    </xf>
    <xf numFmtId="0" fontId="7" fillId="0" borderId="49" xfId="0" applyFont="1" applyBorder="1" applyAlignment="1" applyProtection="1">
      <alignment horizontal="left" vertical="top"/>
      <protection locked="0"/>
    </xf>
    <xf numFmtId="0" fontId="25" fillId="7" borderId="15" xfId="0" applyFont="1" applyFill="1" applyBorder="1" applyAlignment="1" applyProtection="1">
      <alignment horizontal="left" vertical="center" textRotation="255"/>
      <protection locked="0"/>
    </xf>
    <xf numFmtId="0" fontId="25" fillId="7" borderId="31" xfId="0" applyFont="1" applyFill="1" applyBorder="1" applyAlignment="1" applyProtection="1">
      <alignment horizontal="left" vertical="center" textRotation="255"/>
      <protection locked="0"/>
    </xf>
    <xf numFmtId="0" fontId="12" fillId="4" borderId="73" xfId="0" applyFont="1" applyFill="1" applyBorder="1" applyAlignment="1" applyProtection="1">
      <alignment horizontal="left" vertical="top" wrapText="1"/>
      <protection locked="0"/>
    </xf>
    <xf numFmtId="0" fontId="12" fillId="4" borderId="61" xfId="0" applyFont="1" applyFill="1" applyBorder="1" applyAlignment="1" applyProtection="1">
      <alignment horizontal="left" vertical="top"/>
      <protection locked="0"/>
    </xf>
    <xf numFmtId="0" fontId="12" fillId="4" borderId="59" xfId="0" applyFont="1" applyFill="1" applyBorder="1" applyAlignment="1" applyProtection="1">
      <alignment horizontal="left" vertical="top"/>
      <protection locked="0"/>
    </xf>
    <xf numFmtId="0" fontId="12" fillId="4" borderId="30" xfId="0" applyFont="1" applyFill="1" applyBorder="1" applyAlignment="1" applyProtection="1">
      <alignment horizontal="left" vertical="top"/>
      <protection locked="0"/>
    </xf>
    <xf numFmtId="0" fontId="12" fillId="0" borderId="3" xfId="0" applyFont="1" applyBorder="1" applyAlignment="1" applyProtection="1">
      <alignment horizontal="left" vertical="top" wrapText="1"/>
      <protection locked="0"/>
    </xf>
    <xf numFmtId="0" fontId="12" fillId="0" borderId="1" xfId="0" applyFont="1" applyBorder="1" applyAlignment="1" applyProtection="1">
      <alignment horizontal="left" vertical="top" wrapText="1"/>
      <protection locked="0"/>
    </xf>
    <xf numFmtId="0" fontId="12" fillId="0" borderId="50" xfId="0" applyFont="1" applyBorder="1" applyAlignment="1" applyProtection="1">
      <alignment horizontal="left" vertical="top" wrapText="1"/>
      <protection locked="0"/>
    </xf>
    <xf numFmtId="0" fontId="12" fillId="0" borderId="55" xfId="0" applyFont="1" applyBorder="1" applyAlignment="1" applyProtection="1">
      <alignment vertical="top"/>
      <protection locked="0"/>
    </xf>
    <xf numFmtId="0" fontId="12" fillId="0" borderId="1" xfId="0" applyFont="1" applyBorder="1" applyAlignment="1" applyProtection="1">
      <alignment vertical="top"/>
      <protection locked="0"/>
    </xf>
    <xf numFmtId="0" fontId="12" fillId="0" borderId="50" xfId="0" applyFont="1" applyBorder="1" applyAlignment="1" applyProtection="1">
      <alignment vertical="top"/>
      <protection locked="0"/>
    </xf>
    <xf numFmtId="0" fontId="12" fillId="0" borderId="55" xfId="0" applyFont="1" applyBorder="1" applyAlignment="1" applyProtection="1">
      <alignment horizontal="left" vertical="top"/>
      <protection locked="0"/>
    </xf>
    <xf numFmtId="0" fontId="12" fillId="0" borderId="1" xfId="0" applyFont="1" applyBorder="1" applyAlignment="1" applyProtection="1">
      <alignment horizontal="left" vertical="top"/>
      <protection locked="0"/>
    </xf>
    <xf numFmtId="0" fontId="12" fillId="0" borderId="50" xfId="0" applyFont="1" applyBorder="1" applyAlignment="1" applyProtection="1">
      <alignment horizontal="left" vertical="top"/>
      <protection locked="0"/>
    </xf>
    <xf numFmtId="0" fontId="8" fillId="0" borderId="58" xfId="0" applyFont="1" applyBorder="1" applyAlignment="1" applyProtection="1">
      <alignment horizontal="center" vertical="top" wrapText="1"/>
      <protection locked="0"/>
    </xf>
    <xf numFmtId="0" fontId="8" fillId="0" borderId="38" xfId="0" applyFont="1" applyBorder="1" applyAlignment="1" applyProtection="1">
      <alignment horizontal="center" vertical="top" wrapText="1"/>
      <protection locked="0"/>
    </xf>
    <xf numFmtId="0" fontId="8" fillId="0" borderId="28" xfId="0" applyFont="1" applyBorder="1" applyAlignment="1" applyProtection="1">
      <alignment horizontal="center" vertical="top" wrapText="1"/>
      <protection locked="0"/>
    </xf>
    <xf numFmtId="0" fontId="12" fillId="4" borderId="15" xfId="0" applyFont="1" applyFill="1" applyBorder="1" applyAlignment="1" applyProtection="1">
      <alignment horizontal="center" vertical="center" textRotation="255"/>
      <protection locked="0"/>
    </xf>
    <xf numFmtId="0" fontId="12" fillId="4" borderId="31" xfId="0" applyFont="1" applyFill="1" applyBorder="1" applyAlignment="1" applyProtection="1">
      <alignment horizontal="center" vertical="center" textRotation="255"/>
      <protection locked="0"/>
    </xf>
    <xf numFmtId="0" fontId="26" fillId="0" borderId="15" xfId="0" applyFont="1" applyBorder="1" applyAlignment="1" applyProtection="1">
      <alignment vertical="top" wrapText="1"/>
      <protection locked="0"/>
    </xf>
    <xf numFmtId="0" fontId="26" fillId="0" borderId="24" xfId="0" applyFont="1" applyBorder="1" applyAlignment="1" applyProtection="1">
      <alignment vertical="top" wrapText="1"/>
      <protection locked="0"/>
    </xf>
    <xf numFmtId="0" fontId="26" fillId="0" borderId="31" xfId="0" applyFont="1" applyBorder="1" applyAlignment="1" applyProtection="1">
      <alignment vertical="top" wrapText="1"/>
      <protection locked="0"/>
    </xf>
    <xf numFmtId="0" fontId="26" fillId="0" borderId="69" xfId="0" applyFont="1" applyBorder="1" applyAlignment="1" applyProtection="1">
      <alignment vertical="top" wrapText="1"/>
      <protection locked="0"/>
    </xf>
    <xf numFmtId="0" fontId="26" fillId="0" borderId="47" xfId="0" applyFont="1" applyBorder="1" applyAlignment="1" applyProtection="1">
      <alignment vertical="top" wrapText="1"/>
      <protection locked="0"/>
    </xf>
    <xf numFmtId="0" fontId="26" fillId="0" borderId="35" xfId="0" applyFont="1" applyBorder="1" applyAlignment="1" applyProtection="1">
      <alignment vertical="top" wrapText="1"/>
      <protection locked="0"/>
    </xf>
    <xf numFmtId="0" fontId="12" fillId="11" borderId="45" xfId="0" applyFont="1" applyFill="1" applyBorder="1" applyAlignment="1" applyProtection="1">
      <alignment horizontal="center" vertical="top" wrapText="1"/>
      <protection locked="0"/>
    </xf>
    <xf numFmtId="0" fontId="12" fillId="11" borderId="46" xfId="0" applyFont="1" applyFill="1" applyBorder="1" applyAlignment="1" applyProtection="1">
      <alignment horizontal="center" vertical="top" wrapText="1"/>
      <protection locked="0"/>
    </xf>
    <xf numFmtId="0" fontId="9" fillId="4" borderId="15" xfId="0" applyFont="1" applyFill="1" applyBorder="1" applyAlignment="1" applyProtection="1">
      <alignment horizontal="left" vertical="center" textRotation="255"/>
      <protection locked="0"/>
    </xf>
    <xf numFmtId="0" fontId="9" fillId="4" borderId="31" xfId="0" applyFont="1" applyFill="1" applyBorder="1" applyAlignment="1" applyProtection="1">
      <alignment horizontal="left" vertical="center" textRotation="255"/>
      <protection locked="0"/>
    </xf>
    <xf numFmtId="0" fontId="9" fillId="4" borderId="47" xfId="0" applyFont="1" applyFill="1" applyBorder="1" applyAlignment="1" applyProtection="1">
      <alignment horizontal="left" vertical="center" textRotation="255"/>
      <protection locked="0"/>
    </xf>
    <xf numFmtId="0" fontId="7" fillId="0" borderId="3" xfId="0" applyFont="1" applyBorder="1" applyAlignment="1" applyProtection="1">
      <alignment horizontal="left" vertical="top" wrapText="1"/>
      <protection locked="0"/>
    </xf>
    <xf numFmtId="0" fontId="7" fillId="0" borderId="50" xfId="0" applyFont="1" applyBorder="1" applyAlignment="1" applyProtection="1">
      <alignment horizontal="left" vertical="top"/>
      <protection locked="0"/>
    </xf>
    <xf numFmtId="0" fontId="14" fillId="7" borderId="37" xfId="0" applyFont="1" applyFill="1" applyBorder="1" applyAlignment="1" applyProtection="1">
      <alignment vertical="top" wrapText="1"/>
      <protection locked="0"/>
    </xf>
    <xf numFmtId="0" fontId="14" fillId="7" borderId="21" xfId="0" applyFont="1" applyFill="1" applyBorder="1" applyAlignment="1" applyProtection="1">
      <alignment vertical="top" wrapText="1"/>
      <protection locked="0"/>
    </xf>
    <xf numFmtId="0" fontId="7" fillId="7" borderId="8" xfId="0" applyFont="1" applyFill="1" applyBorder="1" applyProtection="1">
      <protection locked="0"/>
    </xf>
    <xf numFmtId="0" fontId="7" fillId="7" borderId="17" xfId="0" applyFont="1" applyFill="1" applyBorder="1" applyProtection="1">
      <protection locked="0"/>
    </xf>
    <xf numFmtId="0" fontId="25" fillId="7" borderId="22" xfId="0" applyFont="1" applyFill="1" applyBorder="1" applyAlignment="1" applyProtection="1">
      <alignment horizontal="left" vertical="top" textRotation="255" wrapText="1"/>
      <protection locked="0"/>
    </xf>
    <xf numFmtId="0" fontId="25" fillId="7" borderId="0" xfId="0" applyFont="1" applyFill="1" applyAlignment="1" applyProtection="1">
      <alignment horizontal="left" vertical="top" textRotation="255" wrapText="1"/>
      <protection locked="0"/>
    </xf>
    <xf numFmtId="0" fontId="0" fillId="0" borderId="36" xfId="0" applyBorder="1" applyAlignment="1" applyProtection="1">
      <alignment horizontal="left" vertical="top" wrapText="1"/>
      <protection locked="0"/>
    </xf>
    <xf numFmtId="0" fontId="0" fillId="0" borderId="23" xfId="0" applyBorder="1" applyAlignment="1" applyProtection="1">
      <alignment horizontal="left" vertical="top"/>
      <protection locked="0"/>
    </xf>
    <xf numFmtId="0" fontId="0" fillId="0" borderId="26" xfId="0" applyBorder="1" applyAlignment="1" applyProtection="1">
      <alignment horizontal="left" vertical="top"/>
      <protection locked="0"/>
    </xf>
    <xf numFmtId="0" fontId="0" fillId="0" borderId="36" xfId="0" applyBorder="1" applyAlignment="1" applyProtection="1">
      <alignment horizontal="left" vertical="top"/>
      <protection locked="0"/>
    </xf>
    <xf numFmtId="0" fontId="22" fillId="3" borderId="27" xfId="0" applyFont="1" applyFill="1" applyBorder="1" applyAlignment="1" applyProtection="1">
      <alignment vertical="top" wrapText="1"/>
      <protection locked="0"/>
    </xf>
    <xf numFmtId="0" fontId="9" fillId="3" borderId="27" xfId="0" applyFont="1" applyFill="1" applyBorder="1" applyAlignment="1" applyProtection="1">
      <alignment vertical="top"/>
      <protection locked="0"/>
    </xf>
    <xf numFmtId="0" fontId="9" fillId="3" borderId="51" xfId="0" applyFont="1" applyFill="1" applyBorder="1" applyAlignment="1" applyProtection="1">
      <alignment vertical="top"/>
      <protection locked="0"/>
    </xf>
    <xf numFmtId="0" fontId="7" fillId="15" borderId="27" xfId="0" applyFont="1" applyFill="1" applyBorder="1" applyProtection="1">
      <protection locked="0"/>
    </xf>
    <xf numFmtId="0" fontId="7" fillId="15" borderId="52" xfId="0" applyFont="1" applyFill="1" applyBorder="1" applyProtection="1">
      <protection locked="0"/>
    </xf>
    <xf numFmtId="0" fontId="25" fillId="15" borderId="15" xfId="0" applyFont="1" applyFill="1" applyBorder="1" applyAlignment="1" applyProtection="1">
      <alignment horizontal="left" vertical="center" textRotation="255" wrapText="1"/>
      <protection locked="0"/>
    </xf>
    <xf numFmtId="0" fontId="25" fillId="15" borderId="49" xfId="0" applyFont="1" applyFill="1" applyBorder="1" applyAlignment="1" applyProtection="1">
      <alignment horizontal="left" vertical="center" textRotation="255" wrapText="1"/>
      <protection locked="0"/>
    </xf>
    <xf numFmtId="0" fontId="14" fillId="7" borderId="16" xfId="0" applyFont="1" applyFill="1" applyBorder="1" applyAlignment="1" applyProtection="1">
      <alignment vertical="top" wrapText="1"/>
      <protection locked="0"/>
    </xf>
    <xf numFmtId="0" fontId="14" fillId="7" borderId="41" xfId="0" applyFont="1" applyFill="1" applyBorder="1" applyAlignment="1" applyProtection="1">
      <alignment vertical="top" wrapText="1"/>
      <protection locked="0"/>
    </xf>
    <xf numFmtId="0" fontId="15" fillId="0" borderId="58" xfId="0" applyFont="1" applyBorder="1" applyAlignment="1" applyProtection="1">
      <alignment vertical="top" wrapText="1"/>
      <protection locked="0"/>
    </xf>
    <xf numFmtId="0" fontId="15" fillId="0" borderId="38" xfId="0" applyFont="1" applyBorder="1" applyAlignment="1" applyProtection="1">
      <alignment vertical="top" wrapText="1"/>
      <protection locked="0"/>
    </xf>
    <xf numFmtId="0" fontId="15" fillId="0" borderId="28" xfId="0" applyFont="1" applyBorder="1" applyAlignment="1" applyProtection="1">
      <alignment vertical="top" wrapText="1"/>
      <protection locked="0"/>
    </xf>
    <xf numFmtId="0" fontId="17" fillId="7" borderId="37" xfId="0" applyFont="1" applyFill="1" applyBorder="1" applyAlignment="1" applyProtection="1">
      <alignment horizontal="left" vertical="center" textRotation="255" wrapText="1"/>
      <protection locked="0"/>
    </xf>
    <xf numFmtId="0" fontId="17" fillId="7" borderId="0" xfId="0" applyFont="1" applyFill="1" applyAlignment="1" applyProtection="1">
      <alignment horizontal="left" vertical="center" textRotation="255" wrapText="1"/>
      <protection locked="0"/>
    </xf>
    <xf numFmtId="0" fontId="17" fillId="7" borderId="25" xfId="0" applyFont="1" applyFill="1" applyBorder="1" applyAlignment="1" applyProtection="1">
      <alignment horizontal="left" vertical="center" textRotation="255" wrapText="1"/>
      <protection locked="0"/>
    </xf>
    <xf numFmtId="0" fontId="24" fillId="4" borderId="15" xfId="0" applyFont="1" applyFill="1" applyBorder="1" applyAlignment="1" applyProtection="1">
      <alignment horizontal="left" vertical="center" textRotation="255" wrapText="1"/>
      <protection locked="0"/>
    </xf>
    <xf numFmtId="0" fontId="24" fillId="4" borderId="31" xfId="0" applyFont="1" applyFill="1" applyBorder="1" applyAlignment="1" applyProtection="1">
      <alignment horizontal="left" vertical="center" textRotation="255" wrapText="1"/>
      <protection locked="0"/>
    </xf>
    <xf numFmtId="0" fontId="24" fillId="4" borderId="47" xfId="0" applyFont="1" applyFill="1" applyBorder="1" applyAlignment="1" applyProtection="1">
      <alignment horizontal="left" vertical="center" textRotation="255" wrapText="1"/>
      <protection locked="0"/>
    </xf>
    <xf numFmtId="0" fontId="80" fillId="0" borderId="23" xfId="17" applyBorder="1" applyAlignment="1">
      <alignment horizontal="center" vertical="center"/>
    </xf>
    <xf numFmtId="0" fontId="80" fillId="0" borderId="26" xfId="17" applyBorder="1" applyAlignment="1">
      <alignment horizontal="center" vertical="center"/>
    </xf>
  </cellXfs>
  <cellStyles count="25">
    <cellStyle name="Good" xfId="2" builtinId="26"/>
    <cellStyle name="Hyperlink" xfId="1" builtinId="8"/>
    <cellStyle name="Hyperlink 2" xfId="3" xr:uid="{00000000-0005-0000-0000-000003000000}"/>
    <cellStyle name="Jun 12" xfId="4" xr:uid="{00000000-0005-0000-0000-000004000000}"/>
    <cellStyle name="Normal" xfId="0" builtinId="0"/>
    <cellStyle name="Normal 2" xfId="5" xr:uid="{00000000-0005-0000-0000-000005000000}"/>
    <cellStyle name="Normal 2 2" xfId="6" xr:uid="{00000000-0005-0000-0000-000006000000}"/>
    <cellStyle name="Normal 2 3" xfId="7" xr:uid="{00000000-0005-0000-0000-000007000000}"/>
    <cellStyle name="Normal 3" xfId="8" xr:uid="{00000000-0005-0000-0000-000008000000}"/>
    <cellStyle name="Normal 3 2" xfId="9" xr:uid="{00000000-0005-0000-0000-000009000000}"/>
    <cellStyle name="Normal 3 2 2" xfId="10" xr:uid="{00000000-0005-0000-0000-00000A000000}"/>
    <cellStyle name="Normal 3 3" xfId="11" xr:uid="{00000000-0005-0000-0000-00000B000000}"/>
    <cellStyle name="Normal 3 3 2" xfId="12" xr:uid="{00000000-0005-0000-0000-00000C000000}"/>
    <cellStyle name="Normal 3 4" xfId="13" xr:uid="{00000000-0005-0000-0000-00000D000000}"/>
    <cellStyle name="Normal 4" xfId="14" xr:uid="{00000000-0005-0000-0000-00000E000000}"/>
    <cellStyle name="Normal 5" xfId="15" xr:uid="{00000000-0005-0000-0000-00000F000000}"/>
    <cellStyle name="Normal 6" xfId="16" xr:uid="{00000000-0005-0000-0000-000010000000}"/>
    <cellStyle name="Normal 7" xfId="17" xr:uid="{00000000-0005-0000-0000-000011000000}"/>
    <cellStyle name="Normal_Copy of Generic Sku Setup for R1_Mercury" xfId="18" xr:uid="{00000000-0005-0000-0000-000012000000}"/>
    <cellStyle name="Normal_Sheet1" xfId="19" xr:uid="{00000000-0005-0000-0000-000013000000}"/>
    <cellStyle name="Normal_Sheet2" xfId="20" xr:uid="{00000000-0005-0000-0000-000014000000}"/>
    <cellStyle name="Normal_Sheet3" xfId="21" xr:uid="{00000000-0005-0000-0000-000015000000}"/>
    <cellStyle name="Normal_Sheet7" xfId="22" xr:uid="{00000000-0005-0000-0000-000016000000}"/>
    <cellStyle name="Style 1" xfId="23" xr:uid="{00000000-0005-0000-0000-000017000000}"/>
    <cellStyle name="Style 1 2" xfId="24" xr:uid="{00000000-0005-0000-0000-000018000000}"/>
  </cellStyles>
  <dxfs count="95">
    <dxf>
      <fill>
        <patternFill patternType="solid">
          <bgColor rgb="FFFF0000"/>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66"/>
        </patternFill>
      </fill>
    </dxf>
    <dxf>
      <fill>
        <patternFill patternType="solid">
          <bgColor rgb="FFFFFF66"/>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ont>
        <sz val="11"/>
        <color theme="0"/>
        <name val="Calibri"/>
        <family val="2"/>
        <scheme val="minor"/>
      </font>
      <fill>
        <patternFill patternType="solid">
          <bgColor rgb="FFFF0000"/>
        </patternFill>
      </fill>
    </dxf>
    <dxf>
      <font>
        <sz val="11"/>
        <color rgb="FF002060"/>
        <name val="Calibri"/>
        <family val="2"/>
        <scheme val="minor"/>
      </font>
      <fill>
        <patternFill patternType="solid">
          <bgColor theme="6" tint="0.39994506668294322"/>
        </patternFill>
      </fill>
    </dxf>
    <dxf>
      <fill>
        <patternFill patternType="solid">
          <bgColor rgb="FFFFFF66"/>
        </patternFill>
      </fill>
    </dxf>
    <dxf>
      <font>
        <b/>
        <sz val="11"/>
        <color rgb="FFFF0000"/>
        <name val="Calibri"/>
        <family val="2"/>
        <scheme val="minor"/>
      </font>
    </dxf>
    <dxf>
      <font>
        <b/>
        <sz val="11"/>
        <color theme="0"/>
        <name val="Calibri"/>
        <family val="2"/>
        <scheme val="minor"/>
      </font>
      <fill>
        <patternFill patternType="solid">
          <bgColor rgb="FFFF0000"/>
        </patternFill>
      </fill>
    </dxf>
    <dxf>
      <font>
        <sz val="11"/>
        <color rgb="FFFFFF00"/>
        <name val="Calibri"/>
        <family val="2"/>
        <scheme val="minor"/>
      </font>
      <fill>
        <patternFill patternType="solid">
          <bgColor rgb="FFFF0000"/>
        </patternFill>
      </fill>
    </dxf>
    <dxf>
      <fill>
        <patternFill patternType="solid">
          <bgColor rgb="FFC00000"/>
        </patternFill>
      </fill>
    </dxf>
    <dxf>
      <fill>
        <patternFill patternType="solid">
          <bgColor rgb="FFC00000"/>
        </patternFill>
      </fill>
    </dxf>
    <dxf>
      <font>
        <b/>
        <sz val="11"/>
        <color rgb="FFFF0000"/>
        <name val="Calibri"/>
        <family val="2"/>
        <scheme val="minor"/>
      </font>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C00000"/>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C00000"/>
        </patternFill>
      </fill>
    </dxf>
    <dxf>
      <fill>
        <patternFill patternType="solid">
          <bgColor rgb="FFFFFF66"/>
        </patternFill>
      </fill>
    </dxf>
    <dxf>
      <font>
        <sz val="11"/>
        <color theme="8" tint="-0.499984740745262"/>
        <name val="Cambria"/>
        <family val="1"/>
        <scheme val="major"/>
      </font>
      <fill>
        <patternFill patternType="solid">
          <bgColor theme="8" tint="0.39994506668294322"/>
        </patternFill>
      </fill>
    </dxf>
    <dxf>
      <font>
        <sz val="11"/>
        <color theme="8" tint="-0.499984740745262"/>
        <name val="Cambria"/>
        <family val="1"/>
        <scheme val="major"/>
      </font>
      <fill>
        <patternFill patternType="solid">
          <bgColor theme="9" tint="-0.24994659260841701"/>
        </patternFill>
      </fill>
    </dxf>
    <dxf>
      <font>
        <sz val="11"/>
        <color theme="8" tint="-0.499984740745262"/>
        <name val="Cambria"/>
        <family val="1"/>
        <scheme val="major"/>
      </font>
      <fill>
        <patternFill patternType="solid">
          <bgColor theme="6" tint="-0.24994659260841701"/>
        </patternFill>
      </fill>
    </dxf>
    <dxf>
      <fill>
        <patternFill patternType="solid">
          <bgColor rgb="FFFFFF66"/>
        </patternFill>
      </fill>
    </dxf>
    <dxf>
      <fill>
        <patternFill patternType="solid">
          <bgColor rgb="FFFFFF66"/>
        </patternFill>
      </fill>
    </dxf>
    <dxf>
      <font>
        <b/>
        <sz val="11"/>
        <color rgb="FFFF0000"/>
        <name val="Calibri"/>
        <family val="2"/>
        <scheme val="minor"/>
      </font>
    </dxf>
    <dxf>
      <font>
        <b/>
        <sz val="11"/>
        <color theme="0"/>
        <name val="Calibri"/>
        <family val="2"/>
        <scheme val="minor"/>
      </font>
      <fill>
        <patternFill patternType="solid">
          <bgColor rgb="FFFF0000"/>
        </patternFill>
      </fill>
    </dxf>
    <dxf>
      <font>
        <sz val="11"/>
        <color rgb="FFFFFF00"/>
        <name val="Calibri"/>
        <family val="2"/>
        <scheme val="minor"/>
      </font>
      <fill>
        <patternFill patternType="solid">
          <bgColor rgb="FFFF0000"/>
        </patternFill>
      </fill>
    </dxf>
    <dxf>
      <fill>
        <patternFill patternType="solid">
          <bgColor rgb="FFC00000"/>
        </patternFill>
      </fill>
    </dxf>
    <dxf>
      <fill>
        <patternFill patternType="solid">
          <bgColor rgb="FFC00000"/>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ont>
        <sz val="11"/>
        <color theme="8" tint="-0.499984740745262"/>
        <name val="Cambria"/>
        <family val="1"/>
        <scheme val="major"/>
      </font>
      <fill>
        <patternFill patternType="solid">
          <bgColor theme="8" tint="0.39994506668294322"/>
        </patternFill>
      </fill>
    </dxf>
    <dxf>
      <font>
        <sz val="11"/>
        <color theme="8" tint="-0.499984740745262"/>
        <name val="Cambria"/>
        <family val="1"/>
        <scheme val="major"/>
      </font>
      <fill>
        <patternFill patternType="solid">
          <bgColor theme="9" tint="-0.24994659260841701"/>
        </patternFill>
      </fill>
    </dxf>
    <dxf>
      <font>
        <sz val="11"/>
        <color theme="8" tint="-0.499984740745262"/>
        <name val="Cambria"/>
        <family val="1"/>
        <scheme val="major"/>
      </font>
      <fill>
        <patternFill patternType="solid">
          <bgColor theme="6" tint="-0.24994659260841701"/>
        </patternFill>
      </fill>
    </dxf>
    <dxf>
      <font>
        <sz val="11"/>
        <color theme="8" tint="0.39994506668294322"/>
        <name val="Cambria"/>
        <family val="1"/>
        <scheme val="major"/>
      </font>
      <fill>
        <patternFill patternType="solid">
          <bgColor theme="8" tint="0.39994506668294322"/>
        </patternFill>
      </fill>
    </dxf>
    <dxf>
      <font>
        <sz val="11"/>
        <color theme="9" tint="-0.24994659260841701"/>
        <name val="Cambria"/>
        <family val="1"/>
        <scheme val="major"/>
      </font>
      <fill>
        <patternFill patternType="solid">
          <bgColor theme="9" tint="-0.24994659260841701"/>
        </patternFill>
      </fill>
    </dxf>
    <dxf>
      <font>
        <sz val="11"/>
        <color theme="6" tint="-0.24994659260841701"/>
        <name val="Cambria"/>
        <family val="1"/>
        <scheme val="major"/>
      </font>
      <fill>
        <patternFill patternType="solid">
          <bgColor theme="6" tint="-0.24994659260841701"/>
        </patternFill>
      </fill>
    </dxf>
    <dxf>
      <fill>
        <patternFill patternType="solid">
          <bgColor rgb="FFFFFF00"/>
        </patternFill>
      </fill>
    </dxf>
    <dxf>
      <fill>
        <patternFill patternType="solid">
          <bgColor rgb="FFFFFF00"/>
        </patternFill>
      </fill>
    </dxf>
    <dxf>
      <fill>
        <patternFill patternType="solid">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xdr:colOff>
          <xdr:row>0</xdr:row>
          <xdr:rowOff>12700</xdr:rowOff>
        </xdr:from>
        <xdr:to>
          <xdr:col>1</xdr:col>
          <xdr:colOff>165100</xdr:colOff>
          <xdr:row>2</xdr:row>
          <xdr:rowOff>114300</xdr:rowOff>
        </xdr:to>
        <xdr:sp macro="" textlink="">
          <xdr:nvSpPr>
            <xdr:cNvPr id="11340" name="Button 1100" hidden="1">
              <a:extLst>
                <a:ext uri="{63B3BB69-23CF-44E3-9099-C40C66FF867C}">
                  <a14:compatExt spid="_x0000_s11340"/>
                </a:ext>
                <a:ext uri="{FF2B5EF4-FFF2-40B4-BE49-F238E27FC236}">
                  <a16:creationId xmlns:a16="http://schemas.microsoft.com/office/drawing/2014/main" id="{00000000-0008-0000-0900-00004C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vert="vert"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Accounting/Merch_Services/SOPs/SOPs%20SKU%20Set-up/Other%20References,%20Guide/Other%20References/SKU%20Uploaders%20SOP/SSF%20Changes/Develop/SkuSetupForm/BBYC%20SKU%20Set-up%20Form%20Xfe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_Sheet"/>
      <sheetName val="Data"/>
      <sheetName val="Master_Table"/>
      <sheetName val="Mercury"/>
      <sheetName val="Values_List"/>
      <sheetName val="Cases"/>
      <sheetName val="Control"/>
      <sheetName val="Start"/>
      <sheetName val="SUD_DATA"/>
      <sheetName val="SUD_MAP"/>
      <sheetName val="UDA"/>
      <sheetName val="Product Details &amp; Content Guide"/>
      <sheetName val="Environmental Compliance"/>
      <sheetName val="Like"/>
    </sheetNames>
    <sheetDataSet>
      <sheetData sheetId="0"/>
      <sheetData sheetId="1"/>
      <sheetData sheetId="2"/>
      <sheetData sheetId="3"/>
      <sheetData sheetId="4">
        <row r="3">
          <cell r="A3" t="str">
            <v>Best Buy_B</v>
          </cell>
        </row>
        <row r="4">
          <cell r="A4" t="str">
            <v>Future Shop_F</v>
          </cell>
        </row>
      </sheetData>
      <sheetData sheetId="5"/>
      <sheetData sheetId="6"/>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10.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11.xml.rels><?xml version="1.0" encoding="UTF-8" standalone="yes"?><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etup_Sheet">
    <tabColor rgb="FF0070C0"/>
  </sheetPr>
  <sheetViews>
    <sheetView showGridLines="0" tabSelected="1" topLeftCell="B3" zoomScale="90" zoomScaleNormal="90" zoomScaleSheetLayoutView="100" workbookViewId="0">
      <selection activeCell="E28" sqref="E28"/>
    </sheetView>
  </sheetViews>
  <sheetFormatPr baseColWidth="10" defaultColWidth="9.1640625" defaultRowHeight="15"/>
  <cols>
    <col min="1" max="1" width="2.83203125" style="157" hidden="1" customWidth="1"/>
    <col min="2" max="2" width="6.6640625" customWidth="1"/>
    <col min="3" max="3" width="40.83203125" customWidth="1"/>
    <col min="4" max="4" width="37.1640625" customWidth="1"/>
    <col min="5" max="5" width="19.6640625" customWidth="1"/>
    <col min="6" max="54" width="20.5" customWidth="1"/>
  </cols>
  <sheetData>
    <row r="1" spans="2:11" hidden="1">
      <c r="C1" t="s" s="118">
        <v>1263</v>
      </c>
      <c r="D1" t="s" s="118">
        <v>814</v>
      </c>
      <c r="E1" t="s" s="263">
        <v>1664</v>
      </c>
      <c r="F1" s="264"/>
      <c r="G1" s="265"/>
      <c r="H1" t="s" s="263">
        <v>892</v>
      </c>
      <c r="I1" s="265"/>
    </row>
    <row r="2" spans="2:11" ht="18.75" hidden="1" customHeight="1">
      <c r="C2" s="31"/>
      <c r="D2" s="31"/>
      <c r="E2" s="260"/>
      <c r="F2" s="261"/>
      <c r="G2" s="262"/>
      <c r="H2" s="260"/>
      <c r="I2" s="262"/>
    </row>
    <row r="3" spans="2:11" ht="18" customHeight="1">
      <c r="B3" t="s" s="205">
        <v>1494</v>
      </c>
    </row>
    <row r="4" spans="2:11">
      <c r="C4" t="s" s="118">
        <v>828</v>
      </c>
      <c r="D4" t="s" s="118">
        <v>1146</v>
      </c>
      <c r="E4" t="s" s="263">
        <v>1664</v>
      </c>
      <c r="F4" s="264"/>
      <c r="G4" s="265"/>
      <c r="H4" t="s" s="263">
        <v>892</v>
      </c>
      <c r="I4" s="265"/>
    </row>
    <row r="5" spans="2:11">
      <c r="C5" s="31"/>
      <c r="D5" s="31"/>
      <c r="E5" s="260"/>
      <c r="F5" s="261"/>
      <c r="G5" s="262"/>
      <c r="H5" s="260"/>
      <c r="I5" s="262"/>
    </row>
    <row r="6" spans="2:11" ht="22.5" customHeight="1" thickBot="1"/>
    <row r="7" spans="2:11" ht="17" thickBot="1">
      <c r="C7" t="s" s="237">
        <v>1823</v>
      </c>
      <c r="D7" t="s" s="196">
        <v>1872</v>
      </c>
    </row>
    <row r="8" spans="2:11" ht="15" customHeight="1" thickBot="1">
      <c r="G8" t="s" s="211">
        <v>555</v>
      </c>
      <c r="H8" t="s" s="211">
        <v>867</v>
      </c>
      <c r="I8" t="s" s="211">
        <v>367</v>
      </c>
      <c r="J8" t="s" s="62">
        <v>555</v>
      </c>
      <c r="K8" t="s" s="62">
        <v>875</v>
      </c>
    </row>
    <row r="9" spans="2:11" ht="17" thickBot="1">
      <c r="C9" t="s" s="159">
        <v>288</v>
      </c>
      <c r="D9" t="s" s="257">
        <v>641</v>
      </c>
      <c r="G9" s="211">
        <v>1</v>
      </c>
      <c r="H9" s="211">
        <f ca="1">VLOOKUP(D9,OFFSET(INDEX(Case_Options,1,1),MATCH(G9,Case_Options,0)-1,2,9,3),2,0)</f>
      </c>
      <c r="I9" s="211">
        <f ca="1">VLOOKUP(D9,OFFSET(INDEX(Case_Options,1,1),MATCH(G9,Case_Options,0)-1,2,9,3),3,0)</f>
      </c>
      <c r="J9" s="211">
        <v>1</v>
      </c>
      <c r="K9" s="211">
        <f ca="1" t="shared" ref="K9:K15" si="0">IF(ISERROR(VLOOKUP(J9,$G$9:$H$21,2,0)),0,VLOOKUP(J9,$G$9:$H$21,2,0))</f>
      </c>
    </row>
    <row r="10" spans="2:11" ht="7.5" customHeight="1" thickBot="1">
      <c r="C10" s="104"/>
      <c r="D10" s="258"/>
      <c r="G10" s="211"/>
      <c r="H10" s="211"/>
      <c r="I10" s="211"/>
      <c r="J10" s="211">
        <v>2</v>
      </c>
      <c r="K10" s="211">
        <f ca="1" t="shared" si="0"/>
      </c>
    </row>
    <row r="11" spans="2:11" ht="17" thickBot="1">
      <c r="C11" t="s" s="159">
        <v>1162</v>
      </c>
      <c r="D11" t="s" s="259">
        <v>155</v>
      </c>
      <c r="G11" s="211">
        <f ca="1">I9</f>
      </c>
      <c r="H11" s="211">
        <f ca="1">VLOOKUP(D11,OFFSET(INDEX(Case_Options,1,1),MATCH(G11,Case_Options,0)-1,2,9,3),2,0)</f>
      </c>
      <c r="I11" s="211">
        <f ca="1">VLOOKUP(D11,OFFSET(INDEX(Case_Options,1,1),MATCH(G11,Case_Options,0)-1,2,9,3),3,0)</f>
      </c>
      <c r="J11" s="211">
        <v>3</v>
      </c>
      <c r="K11" s="211">
        <f ca="1" t="shared" si="0"/>
      </c>
    </row>
    <row r="12" spans="2:11" ht="7.5" customHeight="1" thickBot="1">
      <c r="C12" s="104"/>
      <c r="D12" s="258"/>
      <c r="G12" s="134"/>
      <c r="H12" s="134"/>
      <c r="I12" s="134"/>
      <c r="J12" s="211">
        <v>4</v>
      </c>
      <c r="K12" s="211">
        <f ca="1" t="shared" si="0"/>
      </c>
    </row>
    <row r="13" spans="2:11" ht="17" thickBot="1">
      <c r="C13" t="s" s="159">
        <v>1160</v>
      </c>
      <c r="D13" t="s" s="259">
        <v>817</v>
      </c>
      <c r="G13" s="211">
        <f ca="1">I11</f>
      </c>
      <c r="H13" s="211">
        <f ca="1">VLOOKUP(D13,OFFSET(INDEX(Case_Options,1,1),MATCH(G13,Case_Options,0)-1,2,9,3),2,0)</f>
      </c>
      <c r="I13" s="211">
        <f ca="1">VLOOKUP(D13,OFFSET(INDEX(Case_Options,1,1),MATCH(G13,Case_Options,0)-1,2,9,3),3,0)</f>
      </c>
      <c r="J13" s="211">
        <v>5</v>
      </c>
      <c r="K13" s="211">
        <f ca="1" t="shared" si="0"/>
      </c>
    </row>
    <row r="14" spans="2:11" ht="7.5" customHeight="1" thickBot="1">
      <c r="C14" s="104"/>
      <c r="D14" s="258"/>
      <c r="G14" s="134"/>
      <c r="H14" s="134"/>
      <c r="I14" s="134"/>
      <c r="J14" s="211">
        <v>6</v>
      </c>
      <c r="K14" s="211">
        <f ca="1" t="shared" si="0"/>
      </c>
    </row>
    <row r="15" spans="2:11" ht="17" thickBot="1">
      <c r="C15" t="s" s="159">
        <v>1086</v>
      </c>
      <c r="D15" t="s" s="259">
        <v>718</v>
      </c>
      <c r="G15" s="211">
        <f ca="1">I13</f>
      </c>
      <c r="H15" s="211">
        <f ca="1">VLOOKUP(D15,OFFSET(INDEX(Case_Options,1,1),MATCH(G15,Case_Options,0)-1,2,9,3),2,0)</f>
      </c>
      <c r="I15" s="211">
        <f ca="1">VLOOKUP(D15,OFFSET(INDEX(Case_Options,1,1),MATCH(G15,Case_Options,0)-1,2,9,3),3,0)</f>
      </c>
      <c r="J15" s="211">
        <v>7</v>
      </c>
      <c r="K15" s="211">
        <f ca="1" t="shared" si="0"/>
      </c>
    </row>
    <row r="16" spans="2:11" ht="7.5" customHeight="1">
      <c r="C16" s="104"/>
      <c r="D16" s="258"/>
      <c r="G16" s="134"/>
      <c r="H16" s="134"/>
      <c r="I16" s="134"/>
      <c r="J16" s="211"/>
      <c r="K16" s="211">
        <f ca="1">K9&amp;K10&amp;K11&amp;K12&amp;K13&amp;K14&amp;K15</f>
      </c>
    </row>
    <row r="17" spans="1:54" ht="17" hidden="1" thickBot="1">
      <c r="C17" s="159"/>
      <c r="D17" s="259"/>
      <c r="G17" s="211">
        <f ca="1">I15</f>
      </c>
      <c r="H17" s="211">
        <f ca="1">VLOOKUP(D17,OFFSET(INDEX(Case_Options,1,1),MATCH(G17,Case_Options,0)-1,2,9,3),2,0)</f>
      </c>
      <c r="I17" s="211">
        <f ca="1">VLOOKUP(D17,OFFSET(INDEX(Case_Options,1,1),MATCH(G17,Case_Options,0)-1,2,9,3),3,0)</f>
      </c>
      <c r="J17" s="134"/>
      <c r="K17" s="134"/>
    </row>
    <row r="18" spans="1:54" ht="7.5" hidden="1" customHeight="1" thickBot="1">
      <c r="C18" s="104"/>
      <c r="D18" s="258"/>
      <c r="G18" s="134"/>
      <c r="H18" s="134"/>
      <c r="I18" s="134"/>
      <c r="J18" s="134"/>
      <c r="K18" s="134"/>
    </row>
    <row r="19" spans="1:54" ht="17" hidden="1" thickBot="1">
      <c r="C19" s="159"/>
      <c r="D19" s="259"/>
      <c r="G19" s="211">
        <f ca="1">I17</f>
      </c>
      <c r="H19" s="211">
        <f ca="1">VLOOKUP(D19,OFFSET(INDEX(Case_Options,1,1),MATCH(G19,Case_Options,0)-1,2,9,3),2,0)</f>
      </c>
      <c r="I19" s="211">
        <f ca="1">VLOOKUP(D19,OFFSET(INDEX(Case_Options,1,1),MATCH(G19,Case_Options,0)-1,2,9,3),3,0)</f>
      </c>
      <c r="J19" s="134"/>
      <c r="K19" s="134"/>
    </row>
    <row r="20" spans="1:54" ht="7.5" hidden="1" customHeight="1" thickBot="1">
      <c r="C20" s="104"/>
      <c r="D20" s="258"/>
      <c r="G20" s="134"/>
      <c r="H20" s="134"/>
      <c r="I20" s="134"/>
      <c r="J20" s="134"/>
      <c r="K20" s="134"/>
    </row>
    <row r="21" spans="1:54" ht="17" hidden="1" thickBot="1">
      <c r="C21" s="159"/>
      <c r="D21" s="259"/>
      <c r="G21" s="211">
        <f ca="1">I19</f>
      </c>
      <c r="H21" s="211">
        <f ca="1">VLOOKUP(D21,OFFSET(INDEX(Case_Options,1,1),MATCH(G21,Case_Options,0)-1,2,9,3),2,0)</f>
      </c>
      <c r="I21" s="211">
        <f ca="1">VLOOKUP(D21,OFFSET(INDEX(Case_Options,1,1),MATCH(G21,Case_Options,0)-1,2,9,3),3,0)</f>
      </c>
      <c r="J21" s="134"/>
      <c r="K21" s="134"/>
    </row>
    <row r="22" spans="1:54" hidden="1"/>
    <row r="23" spans="1:54" hidden="1">
      <c r="B23" s="133"/>
      <c r="C23" t="s" s="61">
        <v>1851</v>
      </c>
    </row>
    <row r="24" spans="1:54" hidden="1">
      <c r="B24" s="247"/>
      <c r="C24" t="s" s="61">
        <v>265</v>
      </c>
    </row>
    <row r="25" spans="1:54" hidden="1">
      <c r="B25" s="206"/>
      <c r="C25" t="s" s="61">
        <v>98</v>
      </c>
    </row>
    <row r="26" spans="1:54" ht="16" thickBot="1"/>
    <row r="27" spans="1:54" ht="16" thickBot="1">
      <c r="A27" t="s" s="173">
        <v>511</v>
      </c>
      <c r="B27" t="s" s="25">
        <v>779</v>
      </c>
      <c r="C27" t="s" s="222">
        <v>1602</v>
      </c>
      <c r="D27" t="s" s="243">
        <v>1604</v>
      </c>
      <c r="E27" t="s" s="254">
        <v>68</v>
      </c>
      <c r="F27" t="s" s="255">
        <v>531</v>
      </c>
      <c r="G27" t="s" s="255">
        <v>1509</v>
      </c>
      <c r="H27" t="s" s="255">
        <v>158</v>
      </c>
      <c r="I27" t="s" s="255">
        <v>1131</v>
      </c>
      <c r="J27" t="s" s="255">
        <v>888</v>
      </c>
      <c r="K27" t="s" s="255">
        <v>525</v>
      </c>
      <c r="L27" t="s" s="255">
        <v>108</v>
      </c>
      <c r="M27" t="s" s="255">
        <v>1862</v>
      </c>
      <c r="N27" t="s" s="255">
        <v>586</v>
      </c>
      <c r="O27" t="s" s="255">
        <v>1409</v>
      </c>
      <c r="P27" t="s" s="255">
        <v>35</v>
      </c>
      <c r="Q27" t="s" s="255">
        <v>1537</v>
      </c>
      <c r="R27" t="s" s="255">
        <v>249</v>
      </c>
      <c r="S27" t="s" s="255">
        <v>1320</v>
      </c>
      <c r="T27" t="s" s="255">
        <v>53</v>
      </c>
      <c r="U27" t="s" s="255">
        <v>1116</v>
      </c>
      <c r="V27" t="s" s="255">
        <v>392</v>
      </c>
      <c r="W27" t="s" s="255">
        <v>916</v>
      </c>
      <c r="X27" t="s" s="255">
        <v>1192</v>
      </c>
      <c r="Y27" t="s" s="255">
        <v>449</v>
      </c>
      <c r="Z27" t="s" s="255">
        <v>946</v>
      </c>
      <c r="AA27" t="s" s="255">
        <v>1570</v>
      </c>
      <c r="AB27" t="s" s="255">
        <v>1821</v>
      </c>
      <c r="AC27" t="s" s="255">
        <v>419</v>
      </c>
      <c r="AD27" t="s" s="255">
        <v>309</v>
      </c>
      <c r="AE27" t="s" s="255">
        <v>840</v>
      </c>
      <c r="AF27" t="s" s="255">
        <v>467</v>
      </c>
      <c r="AG27" t="s" s="255">
        <v>983</v>
      </c>
      <c r="AH27" t="s" s="255">
        <v>1440</v>
      </c>
      <c r="AI27" t="s" s="255">
        <v>1423</v>
      </c>
      <c r="AJ27" t="s" s="255">
        <v>328</v>
      </c>
      <c r="AK27" t="s" s="255">
        <v>1288</v>
      </c>
      <c r="AL27" t="s" s="255">
        <v>541</v>
      </c>
      <c r="AM27" t="s" s="255">
        <v>149</v>
      </c>
      <c r="AN27" t="s" s="255">
        <v>693</v>
      </c>
      <c r="AO27" t="s" s="255">
        <v>1149</v>
      </c>
      <c r="AP27" t="s" s="255">
        <v>912</v>
      </c>
      <c r="AQ27" t="s" s="255">
        <v>1453</v>
      </c>
      <c r="AR27" t="s" s="255">
        <v>207</v>
      </c>
      <c r="AS27" t="s" s="255">
        <v>1207</v>
      </c>
      <c r="AT27" t="s" s="255">
        <v>1624</v>
      </c>
      <c r="AU27" t="s" s="255">
        <v>759</v>
      </c>
      <c r="AV27" t="s" s="255">
        <v>1203</v>
      </c>
      <c r="AW27" t="s" s="255">
        <v>351</v>
      </c>
      <c r="AX27" t="s" s="255">
        <v>1264</v>
      </c>
      <c r="AY27" t="s" s="255">
        <v>830</v>
      </c>
      <c r="AZ27" t="s" s="255">
        <v>89</v>
      </c>
      <c r="BA27" t="s" s="255">
        <v>1241</v>
      </c>
      <c r="BB27" t="s" s="256">
        <v>403</v>
      </c>
    </row>
    <row r="28" spans="1:54">
      <c r="A28" t="s" s="157">
        <v>1833</v>
      </c>
      <c r="B28" s="145">
        <v>3</v>
      </c>
      <c r="C28" t="s" s="114">
        <v>887</v>
      </c>
      <c r="D28" t="s" s="38">
        <v>1042</v>
      </c>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row>
    <row r="29" spans="1:54" ht="36">
      <c r="A29" t="s" s="157">
        <v>1833</v>
      </c>
      <c r="B29" s="145">
        <v>10</v>
      </c>
      <c r="C29" t="s" s="114">
        <v>1399</v>
      </c>
      <c r="D29" t="s" s="38">
        <v>642</v>
      </c>
      <c r="E29" t="s" s="148">
        <v>1982</v>
      </c>
      <c r="F29" s="148"/>
      <c r="G29" s="148"/>
      <c r="H29" s="148"/>
      <c r="I29" s="148"/>
      <c r="J29" s="148"/>
      <c r="K29" s="148"/>
      <c r="L29" s="148"/>
      <c r="M29" s="148"/>
      <c r="N29" s="148"/>
      <c r="O29" s="148"/>
      <c r="P29" s="148"/>
      <c r="Q29" s="148"/>
      <c r="R29" s="148"/>
      <c r="S29" s="148"/>
      <c r="T29" s="148"/>
      <c r="U29" s="148"/>
      <c r="V29" s="148"/>
      <c r="W29" s="148"/>
      <c r="X29" s="148"/>
      <c r="Y29" s="148"/>
      <c r="Z29" s="148"/>
      <c r="AA29" s="148"/>
      <c r="AB29" s="148"/>
      <c r="AC29" s="148"/>
      <c r="AD29" s="148"/>
      <c r="AE29" s="148"/>
      <c r="AF29" s="148"/>
      <c r="AG29" s="148"/>
      <c r="AH29" s="148"/>
      <c r="AI29" s="148"/>
      <c r="AJ29" s="148"/>
      <c r="AK29" s="148"/>
      <c r="AL29" s="148"/>
      <c r="AM29" s="148"/>
      <c r="AN29" s="148"/>
      <c r="AO29" s="148"/>
      <c r="AP29" s="148"/>
      <c r="AQ29" s="148"/>
      <c r="AR29" s="148"/>
      <c r="AS29" s="148"/>
      <c r="AT29" s="148"/>
      <c r="AU29" s="148"/>
      <c r="AV29" s="148"/>
      <c r="AW29" s="148"/>
      <c r="AX29" s="148"/>
      <c r="AY29" s="148"/>
      <c r="AZ29" s="148"/>
      <c r="BA29" s="148"/>
      <c r="BB29" s="148"/>
    </row>
    <row r="30" spans="1:54" ht="36">
      <c r="A30" t="s" s="157">
        <v>1833</v>
      </c>
      <c r="B30" s="145">
        <v>11</v>
      </c>
      <c r="C30" t="s" s="114">
        <v>1188</v>
      </c>
      <c r="D30" t="s" s="38">
        <v>395</v>
      </c>
      <c r="E30" t="s" s="148">
        <v>1983</v>
      </c>
      <c r="F30" s="148"/>
      <c r="G30" s="148"/>
      <c r="H30" s="148"/>
      <c r="I30" s="148"/>
      <c r="J30" s="148"/>
      <c r="K30" s="148"/>
      <c r="L30" s="148"/>
      <c r="M30" s="148"/>
      <c r="N30" s="148"/>
      <c r="O30" s="148"/>
      <c r="P30" s="148"/>
      <c r="Q30" s="148"/>
      <c r="R30" s="148"/>
      <c r="S30" s="148"/>
      <c r="T30" s="148"/>
      <c r="U30" s="148"/>
      <c r="V30" s="148"/>
      <c r="W30" s="148"/>
      <c r="X30" s="148"/>
      <c r="Y30" s="148"/>
      <c r="Z30" s="148"/>
      <c r="AA30" s="148"/>
      <c r="AB30" s="148"/>
      <c r="AC30" s="148"/>
      <c r="AD30" s="148"/>
      <c r="AE30" s="148"/>
      <c r="AF30" s="148"/>
      <c r="AG30" s="148"/>
      <c r="AH30" s="148"/>
      <c r="AI30" s="148"/>
      <c r="AJ30" s="148"/>
      <c r="AK30" s="148"/>
      <c r="AL30" s="148"/>
      <c r="AM30" s="148"/>
      <c r="AN30" s="148"/>
      <c r="AO30" s="148"/>
      <c r="AP30" s="148"/>
      <c r="AQ30" s="148"/>
      <c r="AR30" s="148"/>
      <c r="AS30" s="148"/>
      <c r="AT30" s="148"/>
      <c r="AU30" s="148"/>
      <c r="AV30" s="148"/>
      <c r="AW30" s="148"/>
      <c r="AX30" s="148"/>
      <c r="AY30" s="148"/>
      <c r="AZ30" s="148"/>
      <c r="BA30" s="148"/>
      <c r="BB30" s="148"/>
    </row>
    <row r="31" spans="1:54" ht="24">
      <c r="A31" t="s" s="157">
        <v>1833</v>
      </c>
      <c r="B31" s="145">
        <v>12</v>
      </c>
      <c r="C31" t="s" s="114">
        <v>1072</v>
      </c>
      <c r="D31" t="s" s="38">
        <v>313</v>
      </c>
      <c r="E31" t="s" s="148">
        <v>1984</v>
      </c>
      <c r="F31" s="148"/>
      <c r="G31" s="148"/>
      <c r="H31" s="148"/>
      <c r="I31" s="148"/>
      <c r="J31" s="148"/>
      <c r="K31" s="148"/>
      <c r="L31" s="148"/>
      <c r="M31" s="148"/>
      <c r="N31" s="148"/>
      <c r="O31" s="148"/>
      <c r="P31" s="148"/>
      <c r="Q31" s="148"/>
      <c r="R31" s="148"/>
      <c r="S31" s="148"/>
      <c r="T31" s="148"/>
      <c r="U31" s="148"/>
      <c r="V31" s="148"/>
      <c r="W31" s="148"/>
      <c r="X31" s="148"/>
      <c r="Y31" s="148"/>
      <c r="Z31" s="148"/>
      <c r="AA31" s="148"/>
      <c r="AB31" s="148"/>
      <c r="AC31" s="148"/>
      <c r="AD31" s="148"/>
      <c r="AE31" s="148"/>
      <c r="AF31" s="148"/>
      <c r="AG31" s="148"/>
      <c r="AH31" s="148"/>
      <c r="AI31" s="148"/>
      <c r="AJ31" s="148"/>
      <c r="AK31" s="148"/>
      <c r="AL31" s="148"/>
      <c r="AM31" s="148"/>
      <c r="AN31" s="148"/>
      <c r="AO31" s="148"/>
      <c r="AP31" s="148"/>
      <c r="AQ31" s="148"/>
      <c r="AR31" s="148"/>
      <c r="AS31" s="148"/>
      <c r="AT31" s="148"/>
      <c r="AU31" s="148"/>
      <c r="AV31" s="148"/>
      <c r="AW31" s="148"/>
      <c r="AX31" s="148"/>
      <c r="AY31" s="148"/>
      <c r="AZ31" s="148"/>
      <c r="BA31" s="148"/>
      <c r="BB31" s="148"/>
    </row>
    <row r="32" spans="1:54" ht="36">
      <c r="A32" t="s" s="157">
        <v>1833</v>
      </c>
      <c r="B32" s="145">
        <v>13</v>
      </c>
      <c r="C32" t="s" s="114">
        <v>744</v>
      </c>
      <c r="D32" t="s" s="38">
        <v>1925</v>
      </c>
      <c r="E32" s="148"/>
      <c r="F32" s="148"/>
      <c r="G32" s="148"/>
      <c r="H32" s="148"/>
      <c r="I32" s="148"/>
      <c r="J32" s="148"/>
      <c r="K32" s="148"/>
      <c r="L32" s="148"/>
      <c r="M32" s="148"/>
      <c r="N32" s="148"/>
      <c r="O32" s="148"/>
      <c r="P32" s="148"/>
      <c r="Q32" s="148"/>
      <c r="R32" s="148"/>
      <c r="S32" s="148"/>
      <c r="T32" s="148"/>
      <c r="U32" s="148"/>
      <c r="V32" s="148"/>
      <c r="W32" s="148"/>
      <c r="X32" s="148"/>
      <c r="Y32" s="148"/>
      <c r="Z32" s="148"/>
      <c r="AA32" s="148"/>
      <c r="AB32" s="148"/>
      <c r="AC32" s="148"/>
      <c r="AD32" s="148"/>
      <c r="AE32" s="148"/>
      <c r="AF32" s="148"/>
      <c r="AG32" s="148"/>
      <c r="AH32" s="148"/>
      <c r="AI32" s="148"/>
      <c r="AJ32" s="148"/>
      <c r="AK32" s="148"/>
      <c r="AL32" s="148"/>
      <c r="AM32" s="148"/>
      <c r="AN32" s="148"/>
      <c r="AO32" s="148"/>
      <c r="AP32" s="148"/>
      <c r="AQ32" s="148"/>
      <c r="AR32" s="148"/>
      <c r="AS32" s="148"/>
      <c r="AT32" s="148"/>
      <c r="AU32" s="148"/>
      <c r="AV32" s="148"/>
      <c r="AW32" s="148"/>
      <c r="AX32" s="148"/>
      <c r="AY32" s="148"/>
      <c r="AZ32" s="148"/>
      <c r="BA32" s="148"/>
      <c r="BB32" s="148"/>
    </row>
    <row r="33" spans="1:54" ht="24">
      <c r="A33" t="s" s="157">
        <v>1833</v>
      </c>
      <c r="B33" s="145">
        <v>14</v>
      </c>
      <c r="C33" t="s" s="114">
        <v>565</v>
      </c>
      <c r="D33" t="s" s="38">
        <v>1926</v>
      </c>
      <c r="E33" t="s" s="148">
        <v>1985</v>
      </c>
      <c r="F33" s="148"/>
      <c r="G33" s="148"/>
      <c r="H33" s="148"/>
      <c r="I33" s="148"/>
      <c r="J33" s="148"/>
      <c r="K33" s="148"/>
      <c r="L33" s="148"/>
      <c r="M33" s="148"/>
      <c r="N33" s="148"/>
      <c r="O33" s="148"/>
      <c r="P33" s="148"/>
      <c r="Q33" s="148"/>
      <c r="R33" s="148"/>
      <c r="S33" s="148"/>
      <c r="T33" s="148"/>
      <c r="U33" s="148"/>
      <c r="V33" s="148"/>
      <c r="W33" s="148"/>
      <c r="X33" s="148"/>
      <c r="Y33" s="148"/>
      <c r="Z33" s="148"/>
      <c r="AA33" s="148"/>
      <c r="AB33" s="148"/>
      <c r="AC33" s="148"/>
      <c r="AD33" s="148"/>
      <c r="AE33" s="148"/>
      <c r="AF33" s="148"/>
      <c r="AG33" s="148"/>
      <c r="AH33" s="148"/>
      <c r="AI33" s="148"/>
      <c r="AJ33" s="148"/>
      <c r="AK33" s="148"/>
      <c r="AL33" s="148"/>
      <c r="AM33" s="148"/>
      <c r="AN33" s="148"/>
      <c r="AO33" s="148"/>
      <c r="AP33" s="148"/>
      <c r="AQ33" s="148"/>
      <c r="AR33" s="148"/>
      <c r="AS33" s="148"/>
      <c r="AT33" s="148"/>
      <c r="AU33" s="148"/>
      <c r="AV33" s="148"/>
      <c r="AW33" s="148"/>
      <c r="AX33" s="148"/>
      <c r="AY33" s="148"/>
      <c r="AZ33" s="148"/>
      <c r="BA33" s="148"/>
      <c r="BB33" s="148"/>
    </row>
    <row r="34" spans="1:54">
      <c r="A34" t="s" s="157">
        <v>1833</v>
      </c>
      <c r="B34" s="145">
        <v>15</v>
      </c>
      <c r="C34" t="s" s="114">
        <v>612</v>
      </c>
      <c r="D34" t="s" s="38">
        <v>1928</v>
      </c>
      <c r="E34" t="s" s="148">
        <v>1986</v>
      </c>
      <c r="F34" s="148"/>
      <c r="G34" s="148"/>
      <c r="H34" s="148"/>
      <c r="I34" s="148"/>
      <c r="J34" s="148"/>
      <c r="K34" s="148"/>
      <c r="L34" s="148"/>
      <c r="M34" s="148"/>
      <c r="N34" s="148"/>
      <c r="O34" s="148"/>
      <c r="P34" s="148"/>
      <c r="Q34" s="148"/>
      <c r="R34" s="148"/>
      <c r="S34" s="148"/>
      <c r="T34" s="148"/>
      <c r="U34" s="148"/>
      <c r="V34" s="148"/>
      <c r="W34" s="148"/>
      <c r="X34" s="148"/>
      <c r="Y34" s="148"/>
      <c r="Z34" s="148"/>
      <c r="AA34" s="148"/>
      <c r="AB34" s="148"/>
      <c r="AC34" s="148"/>
      <c r="AD34" s="148"/>
      <c r="AE34" s="148"/>
      <c r="AF34" s="148"/>
      <c r="AG34" s="148"/>
      <c r="AH34" s="148"/>
      <c r="AI34" s="148"/>
      <c r="AJ34" s="148"/>
      <c r="AK34" s="148"/>
      <c r="AL34" s="148"/>
      <c r="AM34" s="148"/>
      <c r="AN34" s="148"/>
      <c r="AO34" s="148"/>
      <c r="AP34" s="148"/>
      <c r="AQ34" s="148"/>
      <c r="AR34" s="148"/>
      <c r="AS34" s="148"/>
      <c r="AT34" s="148"/>
      <c r="AU34" s="148"/>
      <c r="AV34" s="148"/>
      <c r="AW34" s="148"/>
      <c r="AX34" s="148"/>
      <c r="AY34" s="148"/>
      <c r="AZ34" s="148"/>
      <c r="BA34" s="148"/>
      <c r="BB34" s="148"/>
    </row>
    <row r="35" spans="1:54">
      <c r="A35" t="s" s="157">
        <v>1833</v>
      </c>
      <c r="B35" s="145">
        <v>16</v>
      </c>
      <c r="C35" t="s" s="114">
        <v>743</v>
      </c>
      <c r="D35" t="s" s="38">
        <v>1211</v>
      </c>
      <c r="E35" t="s" s="148">
        <v>1987</v>
      </c>
      <c r="F35" s="148"/>
      <c r="G35" s="148"/>
      <c r="H35" s="148"/>
      <c r="I35" s="148"/>
      <c r="J35" s="148"/>
      <c r="K35" s="148"/>
      <c r="L35" s="148"/>
      <c r="M35" s="148"/>
      <c r="N35" s="148"/>
      <c r="O35" s="148"/>
      <c r="P35" s="148"/>
      <c r="Q35" s="148"/>
      <c r="R35" s="148"/>
      <c r="S35" s="148"/>
      <c r="T35" s="148"/>
      <c r="U35" s="148"/>
      <c r="V35" s="148"/>
      <c r="W35" s="148"/>
      <c r="X35" s="148"/>
      <c r="Y35" s="148"/>
      <c r="Z35" s="148"/>
      <c r="AA35" s="148"/>
      <c r="AB35" s="148"/>
      <c r="AC35" s="148"/>
      <c r="AD35" s="148"/>
      <c r="AE35" s="148"/>
      <c r="AF35" s="148"/>
      <c r="AG35" s="148"/>
      <c r="AH35" s="148"/>
      <c r="AI35" s="148"/>
      <c r="AJ35" s="148"/>
      <c r="AK35" s="148"/>
      <c r="AL35" s="148"/>
      <c r="AM35" s="148"/>
      <c r="AN35" s="148"/>
      <c r="AO35" s="148"/>
      <c r="AP35" s="148"/>
      <c r="AQ35" s="148"/>
      <c r="AR35" s="148"/>
      <c r="AS35" s="148"/>
      <c r="AT35" s="148"/>
      <c r="AU35" s="148"/>
      <c r="AV35" s="148"/>
      <c r="AW35" s="148"/>
      <c r="AX35" s="148"/>
      <c r="AY35" s="148"/>
      <c r="AZ35" s="148"/>
      <c r="BA35" s="148"/>
      <c r="BB35" s="148"/>
    </row>
    <row r="36" spans="1:54" ht="72">
      <c r="A36" t="s" s="157">
        <v>1833</v>
      </c>
      <c r="B36" s="145">
        <v>17</v>
      </c>
      <c r="C36" t="s" s="114">
        <v>264</v>
      </c>
      <c r="D36" t="s" s="38">
        <v>1931</v>
      </c>
      <c r="E36" s="248"/>
      <c r="F36" s="248"/>
      <c r="G36" s="248"/>
      <c r="H36" s="248"/>
      <c r="I36" s="248"/>
      <c r="J36" s="248"/>
      <c r="K36" s="248"/>
      <c r="L36" s="248"/>
      <c r="M36" s="248"/>
      <c r="N36" s="248"/>
      <c r="O36" s="248"/>
      <c r="P36" s="248"/>
      <c r="Q36" s="248"/>
      <c r="R36" s="248"/>
      <c r="S36" s="248"/>
      <c r="T36" s="248"/>
      <c r="U36" s="248"/>
      <c r="V36" s="248"/>
      <c r="W36" s="248"/>
      <c r="X36" s="248"/>
      <c r="Y36" s="248"/>
      <c r="Z36" s="248"/>
      <c r="AA36" s="248"/>
      <c r="AB36" s="248"/>
      <c r="AC36" s="248"/>
      <c r="AD36" s="248"/>
      <c r="AE36" s="248"/>
      <c r="AF36" s="248"/>
      <c r="AG36" s="248"/>
      <c r="AH36" s="248"/>
      <c r="AI36" s="248"/>
      <c r="AJ36" s="248"/>
      <c r="AK36" s="248"/>
      <c r="AL36" s="248"/>
      <c r="AM36" s="248"/>
      <c r="AN36" s="248"/>
      <c r="AO36" s="248"/>
      <c r="AP36" s="248"/>
      <c r="AQ36" s="248"/>
      <c r="AR36" s="248"/>
      <c r="AS36" s="248"/>
      <c r="AT36" s="248"/>
      <c r="AU36" s="248"/>
      <c r="AV36" s="248"/>
      <c r="AW36" s="248"/>
      <c r="AX36" s="248"/>
      <c r="AY36" s="248"/>
      <c r="AZ36" s="248"/>
      <c r="BA36" s="248"/>
      <c r="BB36" s="248"/>
    </row>
    <row r="37" spans="1:54" ht="36">
      <c r="A37" t="s" s="157">
        <v>1833</v>
      </c>
      <c r="B37" s="145">
        <v>18</v>
      </c>
      <c r="C37" t="s" s="114">
        <v>144</v>
      </c>
      <c r="D37" t="s" s="38">
        <v>1615</v>
      </c>
      <c r="E37" t="s" s="148">
        <v>1988</v>
      </c>
      <c r="F37" s="148"/>
      <c r="G37" s="148"/>
      <c r="H37" s="148"/>
      <c r="I37" s="148"/>
      <c r="J37" s="148"/>
      <c r="K37" s="148"/>
      <c r="L37" s="148"/>
      <c r="M37" s="148"/>
      <c r="N37" s="148"/>
      <c r="O37" s="148"/>
      <c r="P37" s="148"/>
      <c r="Q37" s="148"/>
      <c r="R37" s="148"/>
      <c r="S37" s="148"/>
      <c r="T37" s="148"/>
      <c r="U37" s="148"/>
      <c r="V37" s="148"/>
      <c r="W37" s="148"/>
      <c r="X37" s="148"/>
      <c r="Y37" s="148"/>
      <c r="Z37" s="148"/>
      <c r="AA37" s="148"/>
      <c r="AB37" s="148"/>
      <c r="AC37" s="148"/>
      <c r="AD37" s="148"/>
      <c r="AE37" s="148"/>
      <c r="AF37" s="148"/>
      <c r="AG37" s="148"/>
      <c r="AH37" s="148"/>
      <c r="AI37" s="148"/>
      <c r="AJ37" s="148"/>
      <c r="AK37" s="148"/>
      <c r="AL37" s="148"/>
      <c r="AM37" s="148"/>
      <c r="AN37" s="148"/>
      <c r="AO37" s="148"/>
      <c r="AP37" s="148"/>
      <c r="AQ37" s="148"/>
      <c r="AR37" s="148"/>
      <c r="AS37" s="148"/>
      <c r="AT37" s="148"/>
      <c r="AU37" s="148"/>
      <c r="AV37" s="148"/>
      <c r="AW37" s="148"/>
      <c r="AX37" s="148"/>
      <c r="AY37" s="148"/>
      <c r="AZ37" s="148"/>
      <c r="BA37" s="148"/>
      <c r="BB37" s="148"/>
    </row>
    <row r="38" spans="1:54" ht="36">
      <c r="A38" t="s" s="157">
        <v>1833</v>
      </c>
      <c r="B38" s="145">
        <v>19</v>
      </c>
      <c r="C38" t="s" s="114">
        <v>957</v>
      </c>
      <c r="D38" t="s" s="38">
        <v>1933</v>
      </c>
      <c r="E38" s="249"/>
      <c r="F38" s="249"/>
      <c r="G38" s="249"/>
      <c r="H38" s="249"/>
      <c r="I38" s="249"/>
      <c r="J38" s="249"/>
      <c r="K38" s="249"/>
      <c r="L38" s="249"/>
      <c r="M38" s="249"/>
      <c r="N38" s="249"/>
      <c r="O38" s="249"/>
      <c r="P38" s="249"/>
      <c r="Q38" s="249"/>
      <c r="R38" s="249"/>
      <c r="S38" s="249"/>
      <c r="T38" s="249"/>
      <c r="U38" s="249"/>
      <c r="V38" s="249"/>
      <c r="W38" s="249"/>
      <c r="X38" s="249"/>
      <c r="Y38" s="249"/>
      <c r="Z38" s="249"/>
      <c r="AA38" s="249"/>
      <c r="AB38" s="249"/>
      <c r="AC38" s="249"/>
      <c r="AD38" s="249"/>
      <c r="AE38" s="249"/>
      <c r="AF38" s="249"/>
      <c r="AG38" s="249"/>
      <c r="AH38" s="249"/>
      <c r="AI38" s="249"/>
      <c r="AJ38" s="249"/>
      <c r="AK38" s="249"/>
      <c r="AL38" s="249"/>
      <c r="AM38" s="249"/>
      <c r="AN38" s="249"/>
      <c r="AO38" s="249"/>
      <c r="AP38" s="249"/>
      <c r="AQ38" s="249"/>
      <c r="AR38" s="249"/>
      <c r="AS38" s="249"/>
      <c r="AT38" s="249"/>
      <c r="AU38" s="249"/>
      <c r="AV38" s="249"/>
      <c r="AW38" s="249"/>
      <c r="AX38" s="249"/>
      <c r="AY38" s="249"/>
      <c r="AZ38" s="249"/>
      <c r="BA38" s="249"/>
      <c r="BB38" s="249"/>
    </row>
    <row r="39" spans="1:54" ht="24">
      <c r="A39" t="s" s="157">
        <v>1833</v>
      </c>
      <c r="B39" s="145">
        <v>20</v>
      </c>
      <c r="C39" t="s" s="114">
        <v>252</v>
      </c>
      <c r="D39" t="s" s="38">
        <v>1569</v>
      </c>
      <c r="E39" s="249"/>
      <c r="F39" s="249"/>
      <c r="G39" s="249"/>
      <c r="H39" s="249"/>
      <c r="I39" s="249"/>
      <c r="J39" s="249"/>
      <c r="K39" s="249"/>
      <c r="L39" s="249"/>
      <c r="M39" s="249"/>
      <c r="N39" s="249"/>
      <c r="O39" s="249"/>
      <c r="P39" s="249"/>
      <c r="Q39" s="249"/>
      <c r="R39" s="249"/>
      <c r="S39" s="249"/>
      <c r="T39" s="249"/>
      <c r="U39" s="249"/>
      <c r="V39" s="249"/>
      <c r="W39" s="249"/>
      <c r="X39" s="249"/>
      <c r="Y39" s="249"/>
      <c r="Z39" s="249"/>
      <c r="AA39" s="249"/>
      <c r="AB39" s="249"/>
      <c r="AC39" s="249"/>
      <c r="AD39" s="249"/>
      <c r="AE39" s="249"/>
      <c r="AF39" s="249"/>
      <c r="AG39" s="249"/>
      <c r="AH39" s="249"/>
      <c r="AI39" s="249"/>
      <c r="AJ39" s="249"/>
      <c r="AK39" s="249"/>
      <c r="AL39" s="249"/>
      <c r="AM39" s="249"/>
      <c r="AN39" s="249"/>
      <c r="AO39" s="249"/>
      <c r="AP39" s="249"/>
      <c r="AQ39" s="249"/>
      <c r="AR39" s="249"/>
      <c r="AS39" s="249"/>
      <c r="AT39" s="249"/>
      <c r="AU39" s="249"/>
      <c r="AV39" s="249"/>
      <c r="AW39" s="249"/>
      <c r="AX39" s="249"/>
      <c r="AY39" s="249"/>
      <c r="AZ39" s="249"/>
      <c r="BA39" s="249"/>
      <c r="BB39" s="249"/>
    </row>
    <row r="40" spans="1:54" ht="24">
      <c r="A40" t="s" s="157">
        <v>1833</v>
      </c>
      <c r="B40" s="145">
        <v>21</v>
      </c>
      <c r="C40" t="s" s="114">
        <v>1435</v>
      </c>
      <c r="D40" t="s" s="38">
        <v>680</v>
      </c>
      <c r="E40" s="249"/>
      <c r="F40" s="249"/>
      <c r="G40" s="249"/>
      <c r="H40" s="249"/>
      <c r="I40" s="249"/>
      <c r="J40" s="249"/>
      <c r="K40" s="249"/>
      <c r="L40" s="249"/>
      <c r="M40" s="249"/>
      <c r="N40" s="249"/>
      <c r="O40" s="249"/>
      <c r="P40" s="249"/>
      <c r="Q40" s="249"/>
      <c r="R40" s="249"/>
      <c r="S40" s="249"/>
      <c r="T40" s="249"/>
      <c r="U40" s="249"/>
      <c r="V40" s="249"/>
      <c r="W40" s="249"/>
      <c r="X40" s="249"/>
      <c r="Y40" s="249"/>
      <c r="Z40" s="249"/>
      <c r="AA40" s="249"/>
      <c r="AB40" s="249"/>
      <c r="AC40" s="249"/>
      <c r="AD40" s="249"/>
      <c r="AE40" s="249"/>
      <c r="AF40" s="249"/>
      <c r="AG40" s="249"/>
      <c r="AH40" s="249"/>
      <c r="AI40" s="249"/>
      <c r="AJ40" s="249"/>
      <c r="AK40" s="249"/>
      <c r="AL40" s="249"/>
      <c r="AM40" s="249"/>
      <c r="AN40" s="249"/>
      <c r="AO40" s="249"/>
      <c r="AP40" s="249"/>
      <c r="AQ40" s="249"/>
      <c r="AR40" s="249"/>
      <c r="AS40" s="249"/>
      <c r="AT40" s="249"/>
      <c r="AU40" s="249"/>
      <c r="AV40" s="249"/>
      <c r="AW40" s="249"/>
      <c r="AX40" s="249"/>
      <c r="AY40" s="249"/>
      <c r="AZ40" s="249"/>
      <c r="BA40" s="249"/>
      <c r="BB40" s="249"/>
    </row>
    <row r="41" spans="1:54" ht="24">
      <c r="A41" t="s" s="157">
        <v>1833</v>
      </c>
      <c r="B41" s="145">
        <v>22</v>
      </c>
      <c r="C41" t="s" s="114">
        <v>1493</v>
      </c>
      <c r="D41" t="s" s="38">
        <v>14</v>
      </c>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c r="AD41" s="249"/>
      <c r="AE41" s="249"/>
      <c r="AF41" s="249"/>
      <c r="AG41" s="249"/>
      <c r="AH41" s="249"/>
      <c r="AI41" s="249"/>
      <c r="AJ41" s="249"/>
      <c r="AK41" s="249"/>
      <c r="AL41" s="249"/>
      <c r="AM41" s="249"/>
      <c r="AN41" s="249"/>
      <c r="AO41" s="249"/>
      <c r="AP41" s="249"/>
      <c r="AQ41" s="249"/>
      <c r="AR41" s="249"/>
      <c r="AS41" s="249"/>
      <c r="AT41" s="249"/>
      <c r="AU41" s="249"/>
      <c r="AV41" s="249"/>
      <c r="AW41" s="249"/>
      <c r="AX41" s="249"/>
      <c r="AY41" s="249"/>
      <c r="AZ41" s="249"/>
      <c r="BA41" s="249"/>
      <c r="BB41" s="249"/>
    </row>
    <row r="42" spans="1:54" ht="24">
      <c r="A42" t="s" s="157">
        <v>1833</v>
      </c>
      <c r="B42" s="145">
        <v>23</v>
      </c>
      <c r="C42" t="s" s="114">
        <v>1352</v>
      </c>
      <c r="D42" t="s" s="38">
        <v>958</v>
      </c>
      <c r="E42" s="249"/>
      <c r="F42" s="249"/>
      <c r="G42" s="249"/>
      <c r="H42" s="249"/>
      <c r="I42" s="249"/>
      <c r="J42" s="249"/>
      <c r="K42" s="249"/>
      <c r="L42" s="249"/>
      <c r="M42" s="249"/>
      <c r="N42" s="249"/>
      <c r="O42" s="249"/>
      <c r="P42" s="249"/>
      <c r="Q42" s="249"/>
      <c r="R42" s="249"/>
      <c r="S42" s="249"/>
      <c r="T42" s="249"/>
      <c r="U42" s="249"/>
      <c r="V42" s="249"/>
      <c r="W42" s="249"/>
      <c r="X42" s="249"/>
      <c r="Y42" s="249"/>
      <c r="Z42" s="249"/>
      <c r="AA42" s="249"/>
      <c r="AB42" s="249"/>
      <c r="AC42" s="249"/>
      <c r="AD42" s="249"/>
      <c r="AE42" s="249"/>
      <c r="AF42" s="249"/>
      <c r="AG42" s="249"/>
      <c r="AH42" s="249"/>
      <c r="AI42" s="249"/>
      <c r="AJ42" s="249"/>
      <c r="AK42" s="249"/>
      <c r="AL42" s="249"/>
      <c r="AM42" s="249"/>
      <c r="AN42" s="249"/>
      <c r="AO42" s="249"/>
      <c r="AP42" s="249"/>
      <c r="AQ42" s="249"/>
      <c r="AR42" s="249"/>
      <c r="AS42" s="249"/>
      <c r="AT42" s="249"/>
      <c r="AU42" s="249"/>
      <c r="AV42" s="249"/>
      <c r="AW42" s="249"/>
      <c r="AX42" s="249"/>
      <c r="AY42" s="249"/>
      <c r="AZ42" s="249"/>
      <c r="BA42" s="249"/>
      <c r="BB42" s="249"/>
    </row>
    <row r="43" spans="1:54" ht="24">
      <c r="A43" t="s" s="157">
        <v>1833</v>
      </c>
      <c r="B43" s="145">
        <v>24</v>
      </c>
      <c r="C43" t="s" s="114">
        <v>232</v>
      </c>
      <c r="D43" t="s" s="38">
        <v>610</v>
      </c>
      <c r="E43" s="249"/>
      <c r="F43" s="249"/>
      <c r="G43" s="249"/>
      <c r="H43" s="249"/>
      <c r="I43" s="249"/>
      <c r="J43" s="249"/>
      <c r="K43" s="249"/>
      <c r="L43" s="249"/>
      <c r="M43" s="249"/>
      <c r="N43" s="249"/>
      <c r="O43" s="249"/>
      <c r="P43" s="249"/>
      <c r="Q43" s="249"/>
      <c r="R43" s="249"/>
      <c r="S43" s="249"/>
      <c r="T43" s="249"/>
      <c r="U43" s="249"/>
      <c r="V43" s="249"/>
      <c r="W43" s="249"/>
      <c r="X43" s="249"/>
      <c r="Y43" s="249"/>
      <c r="Z43" s="249"/>
      <c r="AA43" s="249"/>
      <c r="AB43" s="249"/>
      <c r="AC43" s="249"/>
      <c r="AD43" s="249"/>
      <c r="AE43" s="249"/>
      <c r="AF43" s="249"/>
      <c r="AG43" s="249"/>
      <c r="AH43" s="249"/>
      <c r="AI43" s="249"/>
      <c r="AJ43" s="249"/>
      <c r="AK43" s="249"/>
      <c r="AL43" s="249"/>
      <c r="AM43" s="249"/>
      <c r="AN43" s="249"/>
      <c r="AO43" s="249"/>
      <c r="AP43" s="249"/>
      <c r="AQ43" s="249"/>
      <c r="AR43" s="249"/>
      <c r="AS43" s="249"/>
      <c r="AT43" s="249"/>
      <c r="AU43" s="249"/>
      <c r="AV43" s="249"/>
      <c r="AW43" s="249"/>
      <c r="AX43" s="249"/>
      <c r="AY43" s="249"/>
      <c r="AZ43" s="249"/>
      <c r="BA43" s="249"/>
      <c r="BB43" s="249"/>
    </row>
    <row r="44" spans="1:54" ht="60">
      <c r="A44" t="s" s="157">
        <v>1833</v>
      </c>
      <c r="B44" s="145">
        <v>25</v>
      </c>
      <c r="C44" t="s" s="114">
        <v>36</v>
      </c>
      <c r="D44" t="s" s="38">
        <v>452</v>
      </c>
      <c r="E44" s="249"/>
      <c r="F44" s="249"/>
      <c r="G44" s="249"/>
      <c r="H44" s="249"/>
      <c r="I44" s="249"/>
      <c r="J44" s="249"/>
      <c r="K44" s="249"/>
      <c r="L44" s="249"/>
      <c r="M44" s="249"/>
      <c r="N44" s="249"/>
      <c r="O44" s="249"/>
      <c r="P44" s="249"/>
      <c r="Q44" s="249"/>
      <c r="R44" s="249"/>
      <c r="S44" s="249"/>
      <c r="T44" s="249"/>
      <c r="U44" s="249"/>
      <c r="V44" s="249"/>
      <c r="W44" s="249"/>
      <c r="X44" s="249"/>
      <c r="Y44" s="249"/>
      <c r="Z44" s="249"/>
      <c r="AA44" s="249"/>
      <c r="AB44" s="249"/>
      <c r="AC44" s="249"/>
      <c r="AD44" s="249"/>
      <c r="AE44" s="249"/>
      <c r="AF44" s="249"/>
      <c r="AG44" s="249"/>
      <c r="AH44" s="249"/>
      <c r="AI44" s="249"/>
      <c r="AJ44" s="249"/>
      <c r="AK44" s="249"/>
      <c r="AL44" s="249"/>
      <c r="AM44" s="249"/>
      <c r="AN44" s="249"/>
      <c r="AO44" s="249"/>
      <c r="AP44" s="249"/>
      <c r="AQ44" s="249"/>
      <c r="AR44" s="249"/>
      <c r="AS44" s="249"/>
      <c r="AT44" s="249"/>
      <c r="AU44" s="249"/>
      <c r="AV44" s="249"/>
      <c r="AW44" s="249"/>
      <c r="AX44" s="249"/>
      <c r="AY44" s="249"/>
      <c r="AZ44" s="249"/>
      <c r="BA44" s="249"/>
      <c r="BB44" s="249"/>
    </row>
    <row r="45" spans="1:54" ht="60">
      <c r="A45" t="s" s="157">
        <v>1833</v>
      </c>
      <c r="B45" s="145">
        <v>26</v>
      </c>
      <c r="C45" t="s" s="114">
        <v>838</v>
      </c>
      <c r="D45" t="s" s="38">
        <v>764</v>
      </c>
      <c r="E45" s="249"/>
      <c r="F45" s="249"/>
      <c r="G45" s="249"/>
      <c r="H45" s="249"/>
      <c r="I45" s="249"/>
      <c r="J45" s="249"/>
      <c r="K45" s="249"/>
      <c r="L45" s="249"/>
      <c r="M45" s="249"/>
      <c r="N45" s="249"/>
      <c r="O45" s="249"/>
      <c r="P45" s="249"/>
      <c r="Q45" s="249"/>
      <c r="R45" s="249"/>
      <c r="S45" s="249"/>
      <c r="T45" s="249"/>
      <c r="U45" s="249"/>
      <c r="V45" s="249"/>
      <c r="W45" s="249"/>
      <c r="X45" s="249"/>
      <c r="Y45" s="249"/>
      <c r="Z45" s="249"/>
      <c r="AA45" s="249"/>
      <c r="AB45" s="249"/>
      <c r="AC45" s="249"/>
      <c r="AD45" s="249"/>
      <c r="AE45" s="249"/>
      <c r="AF45" s="249"/>
      <c r="AG45" s="249"/>
      <c r="AH45" s="249"/>
      <c r="AI45" s="249"/>
      <c r="AJ45" s="249"/>
      <c r="AK45" s="249"/>
      <c r="AL45" s="249"/>
      <c r="AM45" s="249"/>
      <c r="AN45" s="249"/>
      <c r="AO45" s="249"/>
      <c r="AP45" s="249"/>
      <c r="AQ45" s="249"/>
      <c r="AR45" s="249"/>
      <c r="AS45" s="249"/>
      <c r="AT45" s="249"/>
      <c r="AU45" s="249"/>
      <c r="AV45" s="249"/>
      <c r="AW45" s="249"/>
      <c r="AX45" s="249"/>
      <c r="AY45" s="249"/>
      <c r="AZ45" s="249"/>
      <c r="BA45" s="249"/>
      <c r="BB45" s="249"/>
    </row>
    <row r="46" spans="1:54" ht="60">
      <c r="A46" t="s" s="157">
        <v>1833</v>
      </c>
      <c r="B46" s="145">
        <v>27</v>
      </c>
      <c r="C46" t="s" s="114">
        <v>436</v>
      </c>
      <c r="D46" t="s" s="38">
        <v>257</v>
      </c>
      <c r="E46" s="249"/>
      <c r="F46" s="249"/>
      <c r="G46" s="249"/>
      <c r="H46" s="249"/>
      <c r="I46" s="249"/>
      <c r="J46" s="249"/>
      <c r="K46" s="249"/>
      <c r="L46" s="249"/>
      <c r="M46" s="249"/>
      <c r="N46" s="249"/>
      <c r="O46" s="249"/>
      <c r="P46" s="249"/>
      <c r="Q46" s="249"/>
      <c r="R46" s="249"/>
      <c r="S46" s="249"/>
      <c r="T46" s="249"/>
      <c r="U46" s="249"/>
      <c r="V46" s="249"/>
      <c r="W46" s="249"/>
      <c r="X46" s="249"/>
      <c r="Y46" s="249"/>
      <c r="Z46" s="249"/>
      <c r="AA46" s="249"/>
      <c r="AB46" s="249"/>
      <c r="AC46" s="249"/>
      <c r="AD46" s="249"/>
      <c r="AE46" s="249"/>
      <c r="AF46" s="249"/>
      <c r="AG46" s="249"/>
      <c r="AH46" s="249"/>
      <c r="AI46" s="249"/>
      <c r="AJ46" s="249"/>
      <c r="AK46" s="249"/>
      <c r="AL46" s="249"/>
      <c r="AM46" s="249"/>
      <c r="AN46" s="249"/>
      <c r="AO46" s="249"/>
      <c r="AP46" s="249"/>
      <c r="AQ46" s="249"/>
      <c r="AR46" s="249"/>
      <c r="AS46" s="249"/>
      <c r="AT46" s="249"/>
      <c r="AU46" s="249"/>
      <c r="AV46" s="249"/>
      <c r="AW46" s="249"/>
      <c r="AX46" s="249"/>
      <c r="AY46" s="249"/>
      <c r="AZ46" s="249"/>
      <c r="BA46" s="249"/>
      <c r="BB46" s="249"/>
    </row>
    <row r="47" spans="1:54" ht="24">
      <c r="A47" t="s" s="157">
        <v>1833</v>
      </c>
      <c r="B47" s="145">
        <v>28</v>
      </c>
      <c r="C47" t="s" s="114">
        <v>1520</v>
      </c>
      <c r="D47" t="s" s="38">
        <v>1256</v>
      </c>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c r="AD47" s="249"/>
      <c r="AE47" s="249"/>
      <c r="AF47" s="249"/>
      <c r="AG47" s="249"/>
      <c r="AH47" s="249"/>
      <c r="AI47" s="249"/>
      <c r="AJ47" s="249"/>
      <c r="AK47" s="249"/>
      <c r="AL47" s="249"/>
      <c r="AM47" s="249"/>
      <c r="AN47" s="249"/>
      <c r="AO47" s="249"/>
      <c r="AP47" s="249"/>
      <c r="AQ47" s="249"/>
      <c r="AR47" s="249"/>
      <c r="AS47" s="249"/>
      <c r="AT47" s="249"/>
      <c r="AU47" s="249"/>
      <c r="AV47" s="249"/>
      <c r="AW47" s="249"/>
      <c r="AX47" s="249"/>
      <c r="AY47" s="249"/>
      <c r="AZ47" s="249"/>
      <c r="BA47" s="249"/>
      <c r="BB47" s="249"/>
    </row>
    <row r="48" spans="1:54" ht="24">
      <c r="A48" t="s" s="157">
        <v>1833</v>
      </c>
      <c r="B48" s="145">
        <v>29</v>
      </c>
      <c r="C48" t="s" s="114">
        <v>169</v>
      </c>
      <c r="D48" t="s" s="38">
        <v>44</v>
      </c>
      <c r="E48" s="248"/>
      <c r="F48" s="248"/>
      <c r="G48" s="248"/>
      <c r="H48" s="248"/>
      <c r="I48" s="248"/>
      <c r="J48" s="248"/>
      <c r="K48" s="248"/>
      <c r="L48" s="248"/>
      <c r="M48" s="248"/>
      <c r="N48" s="248"/>
      <c r="O48" s="248"/>
      <c r="P48" s="248"/>
      <c r="Q48" s="248"/>
      <c r="R48" s="248"/>
      <c r="S48" s="248"/>
      <c r="T48" s="248"/>
      <c r="U48" s="248"/>
      <c r="V48" s="248"/>
      <c r="W48" s="248"/>
      <c r="X48" s="248"/>
      <c r="Y48" s="248"/>
      <c r="Z48" s="248"/>
      <c r="AA48" s="248"/>
      <c r="AB48" s="248"/>
      <c r="AC48" s="248"/>
      <c r="AD48" s="248"/>
      <c r="AE48" s="248"/>
      <c r="AF48" s="248"/>
      <c r="AG48" s="248"/>
      <c r="AH48" s="248"/>
      <c r="AI48" s="248"/>
      <c r="AJ48" s="248"/>
      <c r="AK48" s="248"/>
      <c r="AL48" s="248"/>
      <c r="AM48" s="248"/>
      <c r="AN48" s="248"/>
      <c r="AO48" s="248"/>
      <c r="AP48" s="248"/>
      <c r="AQ48" s="248"/>
      <c r="AR48" s="248"/>
      <c r="AS48" s="248"/>
      <c r="AT48" s="248"/>
      <c r="AU48" s="248"/>
      <c r="AV48" s="248"/>
      <c r="AW48" s="248"/>
      <c r="AX48" s="248"/>
      <c r="AY48" s="248"/>
      <c r="AZ48" s="248"/>
      <c r="BA48" s="248"/>
      <c r="BB48" s="248"/>
    </row>
    <row r="49" spans="1:54" ht="24">
      <c r="A49" t="s" s="157">
        <v>1833</v>
      </c>
      <c r="B49" s="145">
        <v>30</v>
      </c>
      <c r="C49" t="s" s="114">
        <v>391</v>
      </c>
      <c r="D49" t="s" s="38">
        <v>245</v>
      </c>
      <c r="E49" s="248"/>
      <c r="F49" s="248"/>
      <c r="G49" s="248"/>
      <c r="H49" s="248"/>
      <c r="I49" s="248"/>
      <c r="J49" s="248"/>
      <c r="K49" s="248"/>
      <c r="L49" s="248"/>
      <c r="M49" s="248"/>
      <c r="N49" s="248"/>
      <c r="O49" s="248"/>
      <c r="P49" s="248"/>
      <c r="Q49" s="248"/>
      <c r="R49" s="248"/>
      <c r="S49" s="248"/>
      <c r="T49" s="248"/>
      <c r="U49" s="248"/>
      <c r="V49" s="248"/>
      <c r="W49" s="248"/>
      <c r="X49" s="248"/>
      <c r="Y49" s="248"/>
      <c r="Z49" s="248"/>
      <c r="AA49" s="248"/>
      <c r="AB49" s="248"/>
      <c r="AC49" s="248"/>
      <c r="AD49" s="248"/>
      <c r="AE49" s="248"/>
      <c r="AF49" s="248"/>
      <c r="AG49" s="248"/>
      <c r="AH49" s="248"/>
      <c r="AI49" s="248"/>
      <c r="AJ49" s="248"/>
      <c r="AK49" s="248"/>
      <c r="AL49" s="248"/>
      <c r="AM49" s="248"/>
      <c r="AN49" s="248"/>
      <c r="AO49" s="248"/>
      <c r="AP49" s="248"/>
      <c r="AQ49" s="248"/>
      <c r="AR49" s="248"/>
      <c r="AS49" s="248"/>
      <c r="AT49" s="248"/>
      <c r="AU49" s="248"/>
      <c r="AV49" s="248"/>
      <c r="AW49" s="248"/>
      <c r="AX49" s="248"/>
      <c r="AY49" s="248"/>
      <c r="AZ49" s="248"/>
      <c r="BA49" s="248"/>
      <c r="BB49" s="248"/>
    </row>
    <row r="50" spans="1:54">
      <c r="A50" t="s" s="157">
        <v>1833</v>
      </c>
      <c r="B50" s="145">
        <v>35</v>
      </c>
      <c r="C50" t="s" s="114">
        <v>778</v>
      </c>
      <c r="D50" t="s" s="38">
        <v>1775</v>
      </c>
      <c r="E50" s="249"/>
      <c r="F50" s="249"/>
      <c r="G50" s="249"/>
      <c r="H50" s="249"/>
      <c r="I50" s="249"/>
      <c r="J50" s="249"/>
      <c r="K50" s="249"/>
      <c r="L50" s="249"/>
      <c r="M50" s="249"/>
      <c r="N50" s="249"/>
      <c r="O50" s="249"/>
      <c r="P50" s="249"/>
      <c r="Q50" s="249"/>
      <c r="R50" s="249"/>
      <c r="S50" s="249"/>
      <c r="T50" s="249"/>
      <c r="U50" s="249"/>
      <c r="V50" s="249"/>
      <c r="W50" s="249"/>
      <c r="X50" s="249"/>
      <c r="Y50" s="249"/>
      <c r="Z50" s="249"/>
      <c r="AA50" s="249"/>
      <c r="AB50" s="249"/>
      <c r="AC50" s="249"/>
      <c r="AD50" s="249"/>
      <c r="AE50" s="249"/>
      <c r="AF50" s="249"/>
      <c r="AG50" s="249"/>
      <c r="AH50" s="249"/>
      <c r="AI50" s="249"/>
      <c r="AJ50" s="249"/>
      <c r="AK50" s="249"/>
      <c r="AL50" s="249"/>
      <c r="AM50" s="249"/>
      <c r="AN50" s="249"/>
      <c r="AO50" s="249"/>
      <c r="AP50" s="249"/>
      <c r="AQ50" s="249"/>
      <c r="AR50" s="249"/>
      <c r="AS50" s="249"/>
      <c r="AT50" s="249"/>
      <c r="AU50" s="249"/>
      <c r="AV50" s="249"/>
      <c r="AW50" s="249"/>
      <c r="AX50" s="249"/>
      <c r="AY50" s="249"/>
      <c r="AZ50" s="249"/>
      <c r="BA50" s="249"/>
      <c r="BB50" s="249"/>
    </row>
    <row r="51" spans="1:54">
      <c r="A51" t="s" s="157">
        <v>1833</v>
      </c>
      <c r="B51" s="145">
        <v>36</v>
      </c>
      <c r="C51" t="s" s="114">
        <v>1287</v>
      </c>
      <c r="D51" t="s" s="38">
        <v>1805</v>
      </c>
      <c r="E51" s="248"/>
      <c r="F51" s="248"/>
      <c r="G51" s="248"/>
      <c r="H51" s="248"/>
      <c r="I51" s="248"/>
      <c r="J51" s="248"/>
      <c r="K51" s="248"/>
      <c r="L51" s="248"/>
      <c r="M51" s="248"/>
      <c r="N51" s="248"/>
      <c r="O51" s="248"/>
      <c r="P51" s="248"/>
      <c r="Q51" s="248"/>
      <c r="R51" s="248"/>
      <c r="S51" s="248"/>
      <c r="T51" s="248"/>
      <c r="U51" s="248"/>
      <c r="V51" s="248"/>
      <c r="W51" s="248"/>
      <c r="X51" s="248"/>
      <c r="Y51" s="248"/>
      <c r="Z51" s="248"/>
      <c r="AA51" s="248"/>
      <c r="AB51" s="248"/>
      <c r="AC51" s="248"/>
      <c r="AD51" s="248"/>
      <c r="AE51" s="248"/>
      <c r="AF51" s="248"/>
      <c r="AG51" s="248"/>
      <c r="AH51" s="248"/>
      <c r="AI51" s="248"/>
      <c r="AJ51" s="248"/>
      <c r="AK51" s="248"/>
      <c r="AL51" s="248"/>
      <c r="AM51" s="248"/>
      <c r="AN51" s="248"/>
      <c r="AO51" s="248"/>
      <c r="AP51" s="248"/>
      <c r="AQ51" s="248"/>
      <c r="AR51" s="248"/>
      <c r="AS51" s="248"/>
      <c r="AT51" s="248"/>
      <c r="AU51" s="248"/>
      <c r="AV51" s="248"/>
      <c r="AW51" s="248"/>
      <c r="AX51" s="248"/>
      <c r="AY51" s="248"/>
      <c r="AZ51" s="248"/>
      <c r="BA51" s="248"/>
      <c r="BB51" s="248"/>
    </row>
    <row r="52" spans="1:54">
      <c r="A52" t="s" s="157">
        <v>1833</v>
      </c>
      <c r="B52" s="145">
        <v>37</v>
      </c>
      <c r="C52" t="s" s="114">
        <v>1370</v>
      </c>
      <c r="D52" t="s" s="38">
        <v>1294</v>
      </c>
      <c r="E52" s="248"/>
      <c r="F52" s="248"/>
      <c r="G52" s="248"/>
      <c r="H52" s="248"/>
      <c r="I52" s="248"/>
      <c r="J52" s="248"/>
      <c r="K52" s="248"/>
      <c r="L52" s="248"/>
      <c r="M52" s="248"/>
      <c r="N52" s="248"/>
      <c r="O52" s="248"/>
      <c r="P52" s="248"/>
      <c r="Q52" s="248"/>
      <c r="R52" s="248"/>
      <c r="S52" s="248"/>
      <c r="T52" s="248"/>
      <c r="U52" s="248"/>
      <c r="V52" s="248"/>
      <c r="W52" s="248"/>
      <c r="X52" s="248"/>
      <c r="Y52" s="248"/>
      <c r="Z52" s="248"/>
      <c r="AA52" s="248"/>
      <c r="AB52" s="248"/>
      <c r="AC52" s="248"/>
      <c r="AD52" s="248"/>
      <c r="AE52" s="248"/>
      <c r="AF52" s="248"/>
      <c r="AG52" s="248"/>
      <c r="AH52" s="248"/>
      <c r="AI52" s="248"/>
      <c r="AJ52" s="248"/>
      <c r="AK52" s="248"/>
      <c r="AL52" s="248"/>
      <c r="AM52" s="248"/>
      <c r="AN52" s="248"/>
      <c r="AO52" s="248"/>
      <c r="AP52" s="248"/>
      <c r="AQ52" s="248"/>
      <c r="AR52" s="248"/>
      <c r="AS52" s="248"/>
      <c r="AT52" s="248"/>
      <c r="AU52" s="248"/>
      <c r="AV52" s="248"/>
      <c r="AW52" s="248"/>
      <c r="AX52" s="248"/>
      <c r="AY52" s="248"/>
      <c r="AZ52" s="248"/>
      <c r="BA52" s="248"/>
      <c r="BB52" s="248"/>
    </row>
    <row r="53" spans="1:54">
      <c r="A53" t="s" s="157">
        <v>1833</v>
      </c>
      <c r="B53" s="145">
        <v>39</v>
      </c>
      <c r="C53" t="s" s="114">
        <v>1295</v>
      </c>
      <c r="D53" t="s" s="38">
        <v>103</v>
      </c>
      <c r="E53" s="249"/>
      <c r="F53" s="249"/>
      <c r="G53" s="249"/>
      <c r="H53" s="249"/>
      <c r="I53" s="249"/>
      <c r="J53" s="249"/>
      <c r="K53" s="249"/>
      <c r="L53" s="249"/>
      <c r="M53" s="249"/>
      <c r="N53" s="249"/>
      <c r="O53" s="249"/>
      <c r="P53" s="249"/>
      <c r="Q53" s="249"/>
      <c r="R53" s="249"/>
      <c r="S53" s="249"/>
      <c r="T53" s="249"/>
      <c r="U53" s="249"/>
      <c r="V53" s="249"/>
      <c r="W53" s="249"/>
      <c r="X53" s="249"/>
      <c r="Y53" s="249"/>
      <c r="Z53" s="249"/>
      <c r="AA53" s="249"/>
      <c r="AB53" s="249"/>
      <c r="AC53" s="249"/>
      <c r="AD53" s="249"/>
      <c r="AE53" s="249"/>
      <c r="AF53" s="249"/>
      <c r="AG53" s="249"/>
      <c r="AH53" s="249"/>
      <c r="AI53" s="249"/>
      <c r="AJ53" s="249"/>
      <c r="AK53" s="249"/>
      <c r="AL53" s="249"/>
      <c r="AM53" s="249"/>
      <c r="AN53" s="249"/>
      <c r="AO53" s="249"/>
      <c r="AP53" s="249"/>
      <c r="AQ53" s="249"/>
      <c r="AR53" s="249"/>
      <c r="AS53" s="249"/>
      <c r="AT53" s="249"/>
      <c r="AU53" s="249"/>
      <c r="AV53" s="249"/>
      <c r="AW53" s="249"/>
      <c r="AX53" s="249"/>
      <c r="AY53" s="249"/>
      <c r="AZ53" s="249"/>
      <c r="BA53" s="249"/>
      <c r="BB53" s="249"/>
    </row>
    <row r="54" spans="1:54">
      <c r="A54" t="s" s="157">
        <v>1833</v>
      </c>
      <c r="B54" s="145">
        <v>40</v>
      </c>
      <c r="C54" t="s" s="114">
        <v>1407</v>
      </c>
      <c r="D54" t="s" s="38">
        <v>1364</v>
      </c>
      <c r="E54" s="248"/>
      <c r="F54" s="248"/>
      <c r="G54" s="248"/>
      <c r="H54" s="248"/>
      <c r="I54" s="248"/>
      <c r="J54" s="248"/>
      <c r="K54" s="248"/>
      <c r="L54" s="248"/>
      <c r="M54" s="248"/>
      <c r="N54" s="248"/>
      <c r="O54" s="248"/>
      <c r="P54" s="248"/>
      <c r="Q54" s="248"/>
      <c r="R54" s="248"/>
      <c r="S54" s="248"/>
      <c r="T54" s="248"/>
      <c r="U54" s="248"/>
      <c r="V54" s="248"/>
      <c r="W54" s="248"/>
      <c r="X54" s="248"/>
      <c r="Y54" s="248"/>
      <c r="Z54" s="248"/>
      <c r="AA54" s="248"/>
      <c r="AB54" s="248"/>
      <c r="AC54" s="248"/>
      <c r="AD54" s="248"/>
      <c r="AE54" s="248"/>
      <c r="AF54" s="248"/>
      <c r="AG54" s="248"/>
      <c r="AH54" s="248"/>
      <c r="AI54" s="248"/>
      <c r="AJ54" s="248"/>
      <c r="AK54" s="248"/>
      <c r="AL54" s="248"/>
      <c r="AM54" s="248"/>
      <c r="AN54" s="248"/>
      <c r="AO54" s="248"/>
      <c r="AP54" s="248"/>
      <c r="AQ54" s="248"/>
      <c r="AR54" s="248"/>
      <c r="AS54" s="248"/>
      <c r="AT54" s="248"/>
      <c r="AU54" s="248"/>
      <c r="AV54" s="248"/>
      <c r="AW54" s="248"/>
      <c r="AX54" s="248"/>
      <c r="AY54" s="248"/>
      <c r="AZ54" s="248"/>
      <c r="BA54" s="248"/>
      <c r="BB54" s="248"/>
    </row>
    <row r="55" spans="1:54">
      <c r="A55" t="s" s="157">
        <v>1833</v>
      </c>
      <c r="B55" s="145">
        <v>41</v>
      </c>
      <c r="C55" t="s" s="114">
        <v>752</v>
      </c>
      <c r="D55" t="s" s="38">
        <v>720</v>
      </c>
      <c r="E55" s="248"/>
      <c r="F55" s="248"/>
      <c r="G55" s="248"/>
      <c r="H55" s="248"/>
      <c r="I55" s="248"/>
      <c r="J55" s="248"/>
      <c r="K55" s="248"/>
      <c r="L55" s="248"/>
      <c r="M55" s="248"/>
      <c r="N55" s="248"/>
      <c r="O55" s="248"/>
      <c r="P55" s="248"/>
      <c r="Q55" s="248"/>
      <c r="R55" s="248"/>
      <c r="S55" s="248"/>
      <c r="T55" s="248"/>
      <c r="U55" s="248"/>
      <c r="V55" s="248"/>
      <c r="W55" s="248"/>
      <c r="X55" s="248"/>
      <c r="Y55" s="248"/>
      <c r="Z55" s="248"/>
      <c r="AA55" s="248"/>
      <c r="AB55" s="248"/>
      <c r="AC55" s="248"/>
      <c r="AD55" s="248"/>
      <c r="AE55" s="248"/>
      <c r="AF55" s="248"/>
      <c r="AG55" s="248"/>
      <c r="AH55" s="248"/>
      <c r="AI55" s="248"/>
      <c r="AJ55" s="248"/>
      <c r="AK55" s="248"/>
      <c r="AL55" s="248"/>
      <c r="AM55" s="248"/>
      <c r="AN55" s="248"/>
      <c r="AO55" s="248"/>
      <c r="AP55" s="248"/>
      <c r="AQ55" s="248"/>
      <c r="AR55" s="248"/>
      <c r="AS55" s="248"/>
      <c r="AT55" s="248"/>
      <c r="AU55" s="248"/>
      <c r="AV55" s="248"/>
      <c r="AW55" s="248"/>
      <c r="AX55" s="248"/>
      <c r="AY55" s="248"/>
      <c r="AZ55" s="248"/>
      <c r="BA55" s="248"/>
      <c r="BB55" s="248"/>
    </row>
    <row r="56" spans="1:54" ht="84">
      <c r="A56" t="s" s="157">
        <v>1833</v>
      </c>
      <c r="B56" s="145">
        <v>64</v>
      </c>
      <c r="C56" t="s" s="114">
        <v>1532</v>
      </c>
      <c r="D56" t="s" s="219">
        <v>1934</v>
      </c>
      <c r="E56" s="250"/>
      <c r="F56" s="250"/>
      <c r="G56" s="250"/>
      <c r="H56" s="250"/>
      <c r="I56" s="250"/>
      <c r="J56" s="250"/>
      <c r="K56" s="250"/>
      <c r="L56" s="250"/>
      <c r="M56" s="250"/>
      <c r="N56" s="250"/>
      <c r="O56" s="250"/>
      <c r="P56" s="250"/>
      <c r="Q56" s="250"/>
      <c r="R56" s="250"/>
      <c r="S56" s="250"/>
      <c r="T56" s="250"/>
      <c r="U56" s="250"/>
      <c r="V56" s="250"/>
      <c r="W56" s="250"/>
      <c r="X56" s="250"/>
      <c r="Y56" s="250"/>
      <c r="Z56" s="250"/>
      <c r="AA56" s="250"/>
      <c r="AB56" s="250"/>
      <c r="AC56" s="250"/>
      <c r="AD56" s="250"/>
      <c r="AE56" s="250"/>
      <c r="AF56" s="250"/>
      <c r="AG56" s="250"/>
      <c r="AH56" s="250"/>
      <c r="AI56" s="250"/>
      <c r="AJ56" s="250"/>
      <c r="AK56" s="250"/>
      <c r="AL56" s="250"/>
      <c r="AM56" s="250"/>
      <c r="AN56" s="250"/>
      <c r="AO56" s="250"/>
      <c r="AP56" s="250"/>
      <c r="AQ56" s="250"/>
      <c r="AR56" s="250"/>
      <c r="AS56" s="250"/>
      <c r="AT56" s="250"/>
      <c r="AU56" s="250"/>
      <c r="AV56" s="250"/>
      <c r="AW56" s="250"/>
      <c r="AX56" s="250"/>
      <c r="AY56" s="250"/>
      <c r="AZ56" s="250"/>
      <c r="BA56" s="250"/>
      <c r="BB56" s="250"/>
    </row>
    <row r="57" spans="1:54">
      <c r="A57" t="s" s="157">
        <v>1833</v>
      </c>
      <c r="B57" s="145">
        <v>65</v>
      </c>
      <c r="C57" t="s" s="114">
        <v>815</v>
      </c>
      <c r="D57" t="s" s="219">
        <v>1171</v>
      </c>
      <c r="E57" s="148"/>
      <c r="F57" s="148"/>
      <c r="G57" s="148"/>
      <c r="H57" s="148"/>
      <c r="I57" s="148"/>
      <c r="J57" s="148"/>
      <c r="K57" s="148"/>
      <c r="L57" s="148"/>
      <c r="M57" s="148"/>
      <c r="N57" s="148"/>
      <c r="O57" s="148"/>
      <c r="P57" s="148"/>
      <c r="Q57" s="148"/>
      <c r="R57" s="148"/>
      <c r="S57" s="148"/>
      <c r="T57" s="148"/>
      <c r="U57" s="148"/>
      <c r="V57" s="148"/>
      <c r="W57" s="148"/>
      <c r="X57" s="148"/>
      <c r="Y57" s="148"/>
      <c r="Z57" s="148"/>
      <c r="AA57" s="148"/>
      <c r="AB57" s="148"/>
      <c r="AC57" s="148"/>
      <c r="AD57" s="148"/>
      <c r="AE57" s="148"/>
      <c r="AF57" s="148"/>
      <c r="AG57" s="148"/>
      <c r="AH57" s="148"/>
      <c r="AI57" s="148"/>
      <c r="AJ57" s="148"/>
      <c r="AK57" s="148"/>
      <c r="AL57" s="148"/>
      <c r="AM57" s="148"/>
      <c r="AN57" s="148"/>
      <c r="AO57" s="148"/>
      <c r="AP57" s="148"/>
      <c r="AQ57" s="148"/>
      <c r="AR57" s="148"/>
      <c r="AS57" s="148"/>
      <c r="AT57" s="148"/>
      <c r="AU57" s="148"/>
      <c r="AV57" s="148"/>
      <c r="AW57" s="148"/>
      <c r="AX57" s="148"/>
      <c r="AY57" s="148"/>
      <c r="AZ57" s="148"/>
      <c r="BA57" s="148"/>
      <c r="BB57" s="148"/>
    </row>
    <row r="58" spans="1:54" ht="36">
      <c r="A58" t="s" s="157">
        <v>1833</v>
      </c>
      <c r="B58" s="145">
        <v>66</v>
      </c>
      <c r="C58" t="s" s="114">
        <v>1011</v>
      </c>
      <c r="D58" t="s" s="38">
        <v>1935</v>
      </c>
      <c r="E58" s="251"/>
      <c r="F58" s="251"/>
      <c r="G58" s="251"/>
      <c r="H58" s="251"/>
      <c r="I58" s="251"/>
      <c r="J58" s="251"/>
      <c r="K58" s="251"/>
      <c r="L58" s="251"/>
      <c r="M58" s="251"/>
      <c r="N58" s="251"/>
      <c r="O58" s="251"/>
      <c r="P58" s="251"/>
      <c r="Q58" s="251"/>
      <c r="R58" s="251"/>
      <c r="S58" s="251"/>
      <c r="T58" s="251"/>
      <c r="U58" s="251"/>
      <c r="V58" s="251"/>
      <c r="W58" s="251"/>
      <c r="X58" s="251"/>
      <c r="Y58" s="251"/>
      <c r="Z58" s="251"/>
      <c r="AA58" s="251"/>
      <c r="AB58" s="251"/>
      <c r="AC58" s="251"/>
      <c r="AD58" s="251"/>
      <c r="AE58" s="251"/>
      <c r="AF58" s="251"/>
      <c r="AG58" s="251"/>
      <c r="AH58" s="251"/>
      <c r="AI58" s="251"/>
      <c r="AJ58" s="251"/>
      <c r="AK58" s="251"/>
      <c r="AL58" s="251"/>
      <c r="AM58" s="251"/>
      <c r="AN58" s="251"/>
      <c r="AO58" s="251"/>
      <c r="AP58" s="251"/>
      <c r="AQ58" s="251"/>
      <c r="AR58" s="251"/>
      <c r="AS58" s="251"/>
      <c r="AT58" s="251"/>
      <c r="AU58" s="251"/>
      <c r="AV58" s="251"/>
      <c r="AW58" s="251"/>
      <c r="AX58" s="251"/>
      <c r="AY58" s="251"/>
      <c r="AZ58" s="251"/>
      <c r="BA58" s="251"/>
      <c r="BB58" s="251"/>
    </row>
    <row r="59" spans="1:54" ht="24">
      <c r="A59" t="s" s="157">
        <v>1833</v>
      </c>
      <c r="B59" s="145">
        <v>67</v>
      </c>
      <c r="C59" t="s" s="114">
        <v>1309</v>
      </c>
      <c r="D59" t="s" s="38">
        <v>684</v>
      </c>
      <c r="E59" s="148"/>
      <c r="F59" s="148"/>
      <c r="G59" s="148"/>
      <c r="H59" s="148"/>
      <c r="I59" s="148"/>
      <c r="J59" s="148"/>
      <c r="K59" s="148"/>
      <c r="L59" s="148"/>
      <c r="M59" s="148"/>
      <c r="N59" s="148"/>
      <c r="O59" s="148"/>
      <c r="P59" s="148"/>
      <c r="Q59" s="148"/>
      <c r="R59" s="148"/>
      <c r="S59" s="148"/>
      <c r="T59" s="148"/>
      <c r="U59" s="148"/>
      <c r="V59" s="148"/>
      <c r="W59" s="148"/>
      <c r="X59" s="148"/>
      <c r="Y59" s="148"/>
      <c r="Z59" s="148"/>
      <c r="AA59" s="148"/>
      <c r="AB59" s="148"/>
      <c r="AC59" s="148"/>
      <c r="AD59" s="148"/>
      <c r="AE59" s="148"/>
      <c r="AF59" s="148"/>
      <c r="AG59" s="148"/>
      <c r="AH59" s="148"/>
      <c r="AI59" s="148"/>
      <c r="AJ59" s="148"/>
      <c r="AK59" s="148"/>
      <c r="AL59" s="148"/>
      <c r="AM59" s="148"/>
      <c r="AN59" s="148"/>
      <c r="AO59" s="148"/>
      <c r="AP59" s="148"/>
      <c r="AQ59" s="148"/>
      <c r="AR59" s="148"/>
      <c r="AS59" s="148"/>
      <c r="AT59" s="148"/>
      <c r="AU59" s="148"/>
      <c r="AV59" s="148"/>
      <c r="AW59" s="148"/>
      <c r="AX59" s="148"/>
      <c r="AY59" s="148"/>
      <c r="AZ59" s="148"/>
      <c r="BA59" s="148"/>
      <c r="BB59" s="148"/>
    </row>
    <row r="60" spans="1:54" ht="24">
      <c r="A60" t="s" s="157">
        <v>1833</v>
      </c>
      <c r="B60" s="145">
        <v>68</v>
      </c>
      <c r="C60" t="s" s="114">
        <v>225</v>
      </c>
      <c r="D60" t="s" s="38">
        <v>534</v>
      </c>
      <c r="E60" s="148"/>
      <c r="F60" s="148"/>
      <c r="G60" s="148"/>
      <c r="H60" s="148"/>
      <c r="I60" s="148"/>
      <c r="J60" s="148"/>
      <c r="K60" s="148"/>
      <c r="L60" s="148"/>
      <c r="M60" s="148"/>
      <c r="N60" s="148"/>
      <c r="O60" s="148"/>
      <c r="P60" s="148"/>
      <c r="Q60" s="148"/>
      <c r="R60" s="148"/>
      <c r="S60" s="148"/>
      <c r="T60" s="148"/>
      <c r="U60" s="148"/>
      <c r="V60" s="148"/>
      <c r="W60" s="148"/>
      <c r="X60" s="148"/>
      <c r="Y60" s="148"/>
      <c r="Z60" s="148"/>
      <c r="AA60" s="148"/>
      <c r="AB60" s="148"/>
      <c r="AC60" s="148"/>
      <c r="AD60" s="148"/>
      <c r="AE60" s="148"/>
      <c r="AF60" s="148"/>
      <c r="AG60" s="148"/>
      <c r="AH60" s="148"/>
      <c r="AI60" s="148"/>
      <c r="AJ60" s="148"/>
      <c r="AK60" s="148"/>
      <c r="AL60" s="148"/>
      <c r="AM60" s="148"/>
      <c r="AN60" s="148"/>
      <c r="AO60" s="148"/>
      <c r="AP60" s="148"/>
      <c r="AQ60" s="148"/>
      <c r="AR60" s="148"/>
      <c r="AS60" s="148"/>
      <c r="AT60" s="148"/>
      <c r="AU60" s="148"/>
      <c r="AV60" s="148"/>
      <c r="AW60" s="148"/>
      <c r="AX60" s="148"/>
      <c r="AY60" s="148"/>
      <c r="AZ60" s="148"/>
      <c r="BA60" s="148"/>
      <c r="BB60" s="148"/>
    </row>
    <row r="61" spans="1:54" ht="24">
      <c r="A61" t="s" s="157">
        <v>1833</v>
      </c>
      <c r="B61" s="145">
        <v>70</v>
      </c>
      <c r="C61" t="s" s="114">
        <v>1528</v>
      </c>
      <c r="D61" t="s" s="38">
        <v>1847</v>
      </c>
      <c r="E61" s="252"/>
      <c r="F61" s="252"/>
      <c r="G61" s="252"/>
      <c r="H61" s="252"/>
      <c r="I61" s="252"/>
      <c r="J61" s="252"/>
      <c r="K61" s="252"/>
      <c r="L61" s="252"/>
      <c r="M61" s="252"/>
      <c r="N61" s="252"/>
      <c r="O61" s="252"/>
      <c r="P61" s="252"/>
      <c r="Q61" s="252"/>
      <c r="R61" s="252"/>
      <c r="S61" s="252"/>
      <c r="T61" s="252"/>
      <c r="U61" s="252"/>
      <c r="V61" s="252"/>
      <c r="W61" s="252"/>
      <c r="X61" s="252"/>
      <c r="Y61" s="252"/>
      <c r="Z61" s="252"/>
      <c r="AA61" s="252"/>
      <c r="AB61" s="252"/>
      <c r="AC61" s="252"/>
      <c r="AD61" s="252"/>
      <c r="AE61" s="252"/>
      <c r="AF61" s="252"/>
      <c r="AG61" s="252"/>
      <c r="AH61" s="252"/>
      <c r="AI61" s="252"/>
      <c r="AJ61" s="252"/>
      <c r="AK61" s="252"/>
      <c r="AL61" s="252"/>
      <c r="AM61" s="252"/>
      <c r="AN61" s="252"/>
      <c r="AO61" s="252"/>
      <c r="AP61" s="252"/>
      <c r="AQ61" s="252"/>
      <c r="AR61" s="252"/>
      <c r="AS61" s="252"/>
      <c r="AT61" s="252"/>
      <c r="AU61" s="252"/>
      <c r="AV61" s="252"/>
      <c r="AW61" s="252"/>
      <c r="AX61" s="252"/>
      <c r="AY61" s="252"/>
      <c r="AZ61" s="252"/>
      <c r="BA61" s="252"/>
      <c r="BB61" s="252"/>
    </row>
    <row r="62" spans="1:54" ht="36">
      <c r="A62" t="s" s="157">
        <v>1833</v>
      </c>
      <c r="B62" s="145">
        <v>114</v>
      </c>
      <c r="C62" t="s" s="114">
        <v>494</v>
      </c>
      <c r="D62" t="s" s="38">
        <v>122</v>
      </c>
      <c r="E62" t="s" s="148">
        <v>816</v>
      </c>
      <c r="F62" t="s" s="148">
        <v>816</v>
      </c>
      <c r="G62" t="s" s="148">
        <v>816</v>
      </c>
      <c r="H62" t="s" s="148">
        <v>816</v>
      </c>
      <c r="I62" t="s" s="148">
        <v>816</v>
      </c>
      <c r="J62" t="s" s="148">
        <v>816</v>
      </c>
      <c r="K62" t="s" s="148">
        <v>816</v>
      </c>
      <c r="L62" t="s" s="148">
        <v>816</v>
      </c>
      <c r="M62" t="s" s="148">
        <v>816</v>
      </c>
      <c r="N62" t="s" s="148">
        <v>816</v>
      </c>
      <c r="O62" t="s" s="148">
        <v>816</v>
      </c>
      <c r="P62" t="s" s="148">
        <v>816</v>
      </c>
      <c r="Q62" t="s" s="148">
        <v>816</v>
      </c>
      <c r="R62" t="s" s="148">
        <v>816</v>
      </c>
      <c r="S62" t="s" s="148">
        <v>816</v>
      </c>
      <c r="T62" t="s" s="148">
        <v>816</v>
      </c>
      <c r="U62" t="s" s="148">
        <v>816</v>
      </c>
      <c r="V62" t="s" s="148">
        <v>816</v>
      </c>
      <c r="W62" t="s" s="148">
        <v>816</v>
      </c>
      <c r="X62" t="s" s="148">
        <v>816</v>
      </c>
      <c r="Y62" t="s" s="148">
        <v>816</v>
      </c>
      <c r="Z62" t="s" s="148">
        <v>816</v>
      </c>
      <c r="AA62" t="s" s="148">
        <v>816</v>
      </c>
      <c r="AB62" t="s" s="148">
        <v>816</v>
      </c>
      <c r="AC62" t="s" s="148">
        <v>816</v>
      </c>
      <c r="AD62" t="s" s="148">
        <v>816</v>
      </c>
      <c r="AE62" t="s" s="148">
        <v>816</v>
      </c>
      <c r="AF62" t="s" s="148">
        <v>816</v>
      </c>
      <c r="AG62" t="s" s="148">
        <v>816</v>
      </c>
      <c r="AH62" t="s" s="148">
        <v>816</v>
      </c>
      <c r="AI62" t="s" s="148">
        <v>816</v>
      </c>
      <c r="AJ62" t="s" s="148">
        <v>816</v>
      </c>
      <c r="AK62" t="s" s="148">
        <v>816</v>
      </c>
      <c r="AL62" t="s" s="148">
        <v>816</v>
      </c>
      <c r="AM62" t="s" s="148">
        <v>816</v>
      </c>
      <c r="AN62" t="s" s="148">
        <v>816</v>
      </c>
      <c r="AO62" t="s" s="148">
        <v>816</v>
      </c>
      <c r="AP62" t="s" s="148">
        <v>816</v>
      </c>
      <c r="AQ62" t="s" s="148">
        <v>816</v>
      </c>
      <c r="AR62" t="s" s="148">
        <v>816</v>
      </c>
      <c r="AS62" t="s" s="148">
        <v>816</v>
      </c>
      <c r="AT62" t="s" s="148">
        <v>816</v>
      </c>
      <c r="AU62" t="s" s="148">
        <v>816</v>
      </c>
      <c r="AV62" t="s" s="148">
        <v>816</v>
      </c>
      <c r="AW62" t="s" s="148">
        <v>816</v>
      </c>
      <c r="AX62" t="s" s="148">
        <v>816</v>
      </c>
      <c r="AY62" t="s" s="148">
        <v>816</v>
      </c>
      <c r="AZ62" t="s" s="148">
        <v>816</v>
      </c>
      <c r="BA62" t="s" s="148">
        <v>816</v>
      </c>
      <c r="BB62" t="s" s="148">
        <v>816</v>
      </c>
    </row>
    <row r="63" spans="1:54" ht="36">
      <c r="A63" t="s" s="157">
        <v>1833</v>
      </c>
      <c r="B63" s="145">
        <v>115</v>
      </c>
      <c r="C63" t="s" s="114">
        <v>1311</v>
      </c>
      <c r="D63" t="s" s="38">
        <v>438</v>
      </c>
      <c r="E63" t="s" s="148">
        <v>1055</v>
      </c>
      <c r="F63" t="s" s="148">
        <v>1055</v>
      </c>
      <c r="G63" t="s" s="148">
        <v>1055</v>
      </c>
      <c r="H63" t="s" s="148">
        <v>1055</v>
      </c>
      <c r="I63" t="s" s="148">
        <v>1055</v>
      </c>
      <c r="J63" t="s" s="148">
        <v>1055</v>
      </c>
      <c r="K63" t="s" s="148">
        <v>1055</v>
      </c>
      <c r="L63" t="s" s="148">
        <v>1055</v>
      </c>
      <c r="M63" t="s" s="148">
        <v>1055</v>
      </c>
      <c r="N63" t="s" s="148">
        <v>1055</v>
      </c>
      <c r="O63" t="s" s="148">
        <v>1055</v>
      </c>
      <c r="P63" t="s" s="148">
        <v>1055</v>
      </c>
      <c r="Q63" t="s" s="148">
        <v>1055</v>
      </c>
      <c r="R63" t="s" s="148">
        <v>1055</v>
      </c>
      <c r="S63" t="s" s="148">
        <v>1055</v>
      </c>
      <c r="T63" t="s" s="148">
        <v>1055</v>
      </c>
      <c r="U63" t="s" s="148">
        <v>1055</v>
      </c>
      <c r="V63" t="s" s="148">
        <v>1055</v>
      </c>
      <c r="W63" t="s" s="148">
        <v>1055</v>
      </c>
      <c r="X63" t="s" s="148">
        <v>1055</v>
      </c>
      <c r="Y63" t="s" s="148">
        <v>1055</v>
      </c>
      <c r="Z63" t="s" s="148">
        <v>1055</v>
      </c>
      <c r="AA63" t="s" s="148">
        <v>1055</v>
      </c>
      <c r="AB63" t="s" s="148">
        <v>1055</v>
      </c>
      <c r="AC63" t="s" s="148">
        <v>1055</v>
      </c>
      <c r="AD63" t="s" s="148">
        <v>1055</v>
      </c>
      <c r="AE63" t="s" s="148">
        <v>1055</v>
      </c>
      <c r="AF63" t="s" s="148">
        <v>1055</v>
      </c>
      <c r="AG63" t="s" s="148">
        <v>1055</v>
      </c>
      <c r="AH63" t="s" s="148">
        <v>1055</v>
      </c>
      <c r="AI63" t="s" s="148">
        <v>1055</v>
      </c>
      <c r="AJ63" t="s" s="148">
        <v>1055</v>
      </c>
      <c r="AK63" t="s" s="148">
        <v>1055</v>
      </c>
      <c r="AL63" t="s" s="148">
        <v>1055</v>
      </c>
      <c r="AM63" t="s" s="148">
        <v>1055</v>
      </c>
      <c r="AN63" t="s" s="148">
        <v>1055</v>
      </c>
      <c r="AO63" t="s" s="148">
        <v>1055</v>
      </c>
      <c r="AP63" t="s" s="148">
        <v>1055</v>
      </c>
      <c r="AQ63" t="s" s="148">
        <v>1055</v>
      </c>
      <c r="AR63" t="s" s="148">
        <v>1055</v>
      </c>
      <c r="AS63" t="s" s="148">
        <v>1055</v>
      </c>
      <c r="AT63" t="s" s="148">
        <v>1055</v>
      </c>
      <c r="AU63" t="s" s="148">
        <v>1055</v>
      </c>
      <c r="AV63" t="s" s="148">
        <v>1055</v>
      </c>
      <c r="AW63" t="s" s="148">
        <v>1055</v>
      </c>
      <c r="AX63" t="s" s="148">
        <v>1055</v>
      </c>
      <c r="AY63" t="s" s="148">
        <v>1055</v>
      </c>
      <c r="AZ63" t="s" s="148">
        <v>1055</v>
      </c>
      <c r="BA63" t="s" s="148">
        <v>1055</v>
      </c>
      <c r="BB63" t="s" s="148">
        <v>1055</v>
      </c>
    </row>
    <row r="64" spans="1:54" ht="24">
      <c r="A64" t="s" s="157">
        <v>1833</v>
      </c>
      <c r="B64" s="145">
        <v>116</v>
      </c>
      <c r="C64" t="s" s="114">
        <v>1412</v>
      </c>
      <c r="D64" t="s" s="38">
        <v>583</v>
      </c>
      <c r="E64" t="s" s="148">
        <v>1055</v>
      </c>
      <c r="F64" t="s" s="148">
        <v>1055</v>
      </c>
      <c r="G64" t="s" s="148">
        <v>1055</v>
      </c>
      <c r="H64" t="s" s="148">
        <v>1055</v>
      </c>
      <c r="I64" t="s" s="148">
        <v>1055</v>
      </c>
      <c r="J64" t="s" s="148">
        <v>1055</v>
      </c>
      <c r="K64" t="s" s="148">
        <v>1055</v>
      </c>
      <c r="L64" t="s" s="148">
        <v>1055</v>
      </c>
      <c r="M64" t="s" s="148">
        <v>1055</v>
      </c>
      <c r="N64" t="s" s="148">
        <v>1055</v>
      </c>
      <c r="O64" t="s" s="148">
        <v>1055</v>
      </c>
      <c r="P64" t="s" s="148">
        <v>1055</v>
      </c>
      <c r="Q64" t="s" s="148">
        <v>1055</v>
      </c>
      <c r="R64" t="s" s="148">
        <v>1055</v>
      </c>
      <c r="S64" t="s" s="148">
        <v>1055</v>
      </c>
      <c r="T64" t="s" s="148">
        <v>1055</v>
      </c>
      <c r="U64" t="s" s="148">
        <v>1055</v>
      </c>
      <c r="V64" t="s" s="148">
        <v>1055</v>
      </c>
      <c r="W64" t="s" s="148">
        <v>1055</v>
      </c>
      <c r="X64" t="s" s="148">
        <v>1055</v>
      </c>
      <c r="Y64" t="s" s="148">
        <v>1055</v>
      </c>
      <c r="Z64" t="s" s="148">
        <v>1055</v>
      </c>
      <c r="AA64" t="s" s="148">
        <v>1055</v>
      </c>
      <c r="AB64" t="s" s="148">
        <v>1055</v>
      </c>
      <c r="AC64" t="s" s="148">
        <v>1055</v>
      </c>
      <c r="AD64" t="s" s="148">
        <v>1055</v>
      </c>
      <c r="AE64" t="s" s="148">
        <v>1055</v>
      </c>
      <c r="AF64" t="s" s="148">
        <v>1055</v>
      </c>
      <c r="AG64" t="s" s="148">
        <v>1055</v>
      </c>
      <c r="AH64" t="s" s="148">
        <v>1055</v>
      </c>
      <c r="AI64" t="s" s="148">
        <v>1055</v>
      </c>
      <c r="AJ64" t="s" s="148">
        <v>1055</v>
      </c>
      <c r="AK64" t="s" s="148">
        <v>1055</v>
      </c>
      <c r="AL64" t="s" s="148">
        <v>1055</v>
      </c>
      <c r="AM64" t="s" s="148">
        <v>1055</v>
      </c>
      <c r="AN64" t="s" s="148">
        <v>1055</v>
      </c>
      <c r="AO64" t="s" s="148">
        <v>1055</v>
      </c>
      <c r="AP64" t="s" s="148">
        <v>1055</v>
      </c>
      <c r="AQ64" t="s" s="148">
        <v>1055</v>
      </c>
      <c r="AR64" t="s" s="148">
        <v>1055</v>
      </c>
      <c r="AS64" t="s" s="148">
        <v>1055</v>
      </c>
      <c r="AT64" t="s" s="148">
        <v>1055</v>
      </c>
      <c r="AU64" t="s" s="148">
        <v>1055</v>
      </c>
      <c r="AV64" t="s" s="148">
        <v>1055</v>
      </c>
      <c r="AW64" t="s" s="148">
        <v>1055</v>
      </c>
      <c r="AX64" t="s" s="148">
        <v>1055</v>
      </c>
      <c r="AY64" t="s" s="148">
        <v>1055</v>
      </c>
      <c r="AZ64" t="s" s="148">
        <v>1055</v>
      </c>
      <c r="BA64" t="s" s="148">
        <v>1055</v>
      </c>
      <c r="BB64" t="s" s="148">
        <v>1055</v>
      </c>
    </row>
    <row r="65" spans="1:54" ht="36">
      <c r="A65" t="s" s="157">
        <v>1833</v>
      </c>
      <c r="B65" s="145">
        <v>117</v>
      </c>
      <c r="C65" t="s" s="114">
        <v>229</v>
      </c>
      <c r="D65" t="s" s="38">
        <v>69</v>
      </c>
      <c r="E65" s="248"/>
      <c r="F65" s="248"/>
      <c r="G65" s="248"/>
      <c r="H65" s="248"/>
      <c r="I65" s="248"/>
      <c r="J65" s="248"/>
      <c r="K65" s="248"/>
      <c r="L65" s="248"/>
      <c r="M65" s="248"/>
      <c r="N65" s="248"/>
      <c r="O65" s="248"/>
      <c r="P65" s="248"/>
      <c r="Q65" s="248"/>
      <c r="R65" s="248"/>
      <c r="S65" s="248"/>
      <c r="T65" s="248"/>
      <c r="U65" s="248"/>
      <c r="V65" s="248"/>
      <c r="W65" s="248"/>
      <c r="X65" s="248"/>
      <c r="Y65" s="248"/>
      <c r="Z65" s="248"/>
      <c r="AA65" s="248"/>
      <c r="AB65" s="248"/>
      <c r="AC65" s="248"/>
      <c r="AD65" s="248"/>
      <c r="AE65" s="248"/>
      <c r="AF65" s="248"/>
      <c r="AG65" s="248"/>
      <c r="AH65" s="248"/>
      <c r="AI65" s="248"/>
      <c r="AJ65" s="248"/>
      <c r="AK65" s="248"/>
      <c r="AL65" s="248"/>
      <c r="AM65" s="248"/>
      <c r="AN65" s="248"/>
      <c r="AO65" s="248"/>
      <c r="AP65" s="248"/>
      <c r="AQ65" s="248"/>
      <c r="AR65" s="248"/>
      <c r="AS65" s="248"/>
      <c r="AT65" s="248"/>
      <c r="AU65" s="248"/>
      <c r="AV65" s="248"/>
      <c r="AW65" s="248"/>
      <c r="AX65" s="248"/>
      <c r="AY65" s="248"/>
      <c r="AZ65" s="248"/>
      <c r="BA65" s="248"/>
      <c r="BB65" s="248"/>
    </row>
    <row r="66" spans="1:54" ht="24">
      <c r="A66" t="s" s="157">
        <v>1833</v>
      </c>
      <c r="B66" s="145">
        <v>120</v>
      </c>
      <c r="C66" t="s" s="114">
        <v>1728</v>
      </c>
      <c r="D66" t="s" s="38">
        <v>1736</v>
      </c>
      <c r="E66" t="s" s="148">
        <v>1055</v>
      </c>
      <c r="F66" t="s" s="148">
        <v>1055</v>
      </c>
      <c r="G66" t="s" s="148">
        <v>1055</v>
      </c>
      <c r="H66" t="s" s="148">
        <v>1055</v>
      </c>
      <c r="I66" t="s" s="148">
        <v>1055</v>
      </c>
      <c r="J66" t="s" s="148">
        <v>1055</v>
      </c>
      <c r="K66" t="s" s="148">
        <v>1055</v>
      </c>
      <c r="L66" t="s" s="148">
        <v>1055</v>
      </c>
      <c r="M66" t="s" s="148">
        <v>1055</v>
      </c>
      <c r="N66" t="s" s="148">
        <v>1055</v>
      </c>
      <c r="O66" t="s" s="148">
        <v>1055</v>
      </c>
      <c r="P66" t="s" s="148">
        <v>1055</v>
      </c>
      <c r="Q66" t="s" s="148">
        <v>1055</v>
      </c>
      <c r="R66" t="s" s="148">
        <v>1055</v>
      </c>
      <c r="S66" t="s" s="148">
        <v>1055</v>
      </c>
      <c r="T66" t="s" s="148">
        <v>1055</v>
      </c>
      <c r="U66" t="s" s="148">
        <v>1055</v>
      </c>
      <c r="V66" t="s" s="148">
        <v>1055</v>
      </c>
      <c r="W66" t="s" s="148">
        <v>1055</v>
      </c>
      <c r="X66" t="s" s="148">
        <v>1055</v>
      </c>
      <c r="Y66" t="s" s="148">
        <v>1055</v>
      </c>
      <c r="Z66" t="s" s="148">
        <v>1055</v>
      </c>
      <c r="AA66" t="s" s="148">
        <v>1055</v>
      </c>
      <c r="AB66" t="s" s="148">
        <v>1055</v>
      </c>
      <c r="AC66" t="s" s="148">
        <v>1055</v>
      </c>
      <c r="AD66" t="s" s="148">
        <v>1055</v>
      </c>
      <c r="AE66" t="s" s="148">
        <v>1055</v>
      </c>
      <c r="AF66" t="s" s="148">
        <v>1055</v>
      </c>
      <c r="AG66" t="s" s="148">
        <v>1055</v>
      </c>
      <c r="AH66" t="s" s="148">
        <v>1055</v>
      </c>
      <c r="AI66" t="s" s="148">
        <v>1055</v>
      </c>
      <c r="AJ66" t="s" s="148">
        <v>1055</v>
      </c>
      <c r="AK66" t="s" s="148">
        <v>1055</v>
      </c>
      <c r="AL66" t="s" s="148">
        <v>1055</v>
      </c>
      <c r="AM66" t="s" s="148">
        <v>1055</v>
      </c>
      <c r="AN66" t="s" s="148">
        <v>1055</v>
      </c>
      <c r="AO66" t="s" s="148">
        <v>1055</v>
      </c>
      <c r="AP66" t="s" s="148">
        <v>1055</v>
      </c>
      <c r="AQ66" t="s" s="148">
        <v>1055</v>
      </c>
      <c r="AR66" t="s" s="148">
        <v>1055</v>
      </c>
      <c r="AS66" t="s" s="148">
        <v>1055</v>
      </c>
      <c r="AT66" t="s" s="148">
        <v>1055</v>
      </c>
      <c r="AU66" t="s" s="148">
        <v>1055</v>
      </c>
      <c r="AV66" t="s" s="148">
        <v>1055</v>
      </c>
      <c r="AW66" t="s" s="148">
        <v>1055</v>
      </c>
      <c r="AX66" t="s" s="148">
        <v>1055</v>
      </c>
      <c r="AY66" t="s" s="148">
        <v>1055</v>
      </c>
      <c r="AZ66" t="s" s="148">
        <v>1055</v>
      </c>
      <c r="BA66" t="s" s="148">
        <v>1055</v>
      </c>
      <c r="BB66" t="s" s="148">
        <v>1055</v>
      </c>
    </row>
    <row r="67" spans="1:54" ht="24">
      <c r="A67" t="s" s="157">
        <v>1833</v>
      </c>
      <c r="B67" s="145">
        <v>121</v>
      </c>
      <c r="C67" t="s" s="114">
        <v>850</v>
      </c>
      <c r="D67" t="s" s="38">
        <v>1743</v>
      </c>
      <c r="E67" s="248">
        <v>365</v>
      </c>
      <c r="F67" s="248">
        <v>365</v>
      </c>
      <c r="G67" s="248">
        <v>365</v>
      </c>
      <c r="H67" s="248">
        <v>365</v>
      </c>
      <c r="I67" s="248">
        <v>365</v>
      </c>
      <c r="J67" s="248">
        <v>365</v>
      </c>
      <c r="K67" s="248">
        <v>365</v>
      </c>
      <c r="L67" s="248">
        <v>365</v>
      </c>
      <c r="M67" s="248">
        <v>365</v>
      </c>
      <c r="N67" s="248">
        <v>365</v>
      </c>
      <c r="O67" s="248">
        <v>365</v>
      </c>
      <c r="P67" s="248">
        <v>365</v>
      </c>
      <c r="Q67" s="248">
        <v>365</v>
      </c>
      <c r="R67" s="248">
        <v>365</v>
      </c>
      <c r="S67" s="248">
        <v>365</v>
      </c>
      <c r="T67" s="248">
        <v>365</v>
      </c>
      <c r="U67" s="248">
        <v>365</v>
      </c>
      <c r="V67" s="248">
        <v>365</v>
      </c>
      <c r="W67" s="248">
        <v>365</v>
      </c>
      <c r="X67" s="248">
        <v>365</v>
      </c>
      <c r="Y67" s="248">
        <v>365</v>
      </c>
      <c r="Z67" s="248">
        <v>365</v>
      </c>
      <c r="AA67" s="248">
        <v>365</v>
      </c>
      <c r="AB67" s="248">
        <v>365</v>
      </c>
      <c r="AC67" s="248">
        <v>365</v>
      </c>
      <c r="AD67" s="248">
        <v>365</v>
      </c>
      <c r="AE67" s="248">
        <v>365</v>
      </c>
      <c r="AF67" s="248">
        <v>365</v>
      </c>
      <c r="AG67" s="248">
        <v>365</v>
      </c>
      <c r="AH67" s="248">
        <v>365</v>
      </c>
      <c r="AI67" s="248">
        <v>365</v>
      </c>
      <c r="AJ67" s="248">
        <v>365</v>
      </c>
      <c r="AK67" s="248">
        <v>365</v>
      </c>
      <c r="AL67" s="248">
        <v>365</v>
      </c>
      <c r="AM67" s="248">
        <v>365</v>
      </c>
      <c r="AN67" s="248">
        <v>365</v>
      </c>
      <c r="AO67" s="248">
        <v>365</v>
      </c>
      <c r="AP67" s="248">
        <v>365</v>
      </c>
      <c r="AQ67" s="248">
        <v>365</v>
      </c>
      <c r="AR67" s="248">
        <v>365</v>
      </c>
      <c r="AS67" s="248">
        <v>365</v>
      </c>
      <c r="AT67" s="248">
        <v>365</v>
      </c>
      <c r="AU67" s="248">
        <v>365</v>
      </c>
      <c r="AV67" s="248">
        <v>365</v>
      </c>
      <c r="AW67" s="248">
        <v>365</v>
      </c>
      <c r="AX67" s="248">
        <v>365</v>
      </c>
      <c r="AY67" s="248">
        <v>365</v>
      </c>
      <c r="AZ67" s="248">
        <v>365</v>
      </c>
      <c r="BA67" s="248">
        <v>365</v>
      </c>
      <c r="BB67" s="248">
        <v>365</v>
      </c>
    </row>
    <row r="68" spans="1:54" ht="24">
      <c r="A68" t="s" s="157">
        <v>1833</v>
      </c>
      <c r="B68" s="145">
        <v>122</v>
      </c>
      <c r="C68" t="s" s="114">
        <v>312</v>
      </c>
      <c r="D68" t="s" s="38">
        <v>834</v>
      </c>
      <c r="E68" s="248">
        <v>365</v>
      </c>
      <c r="F68" s="248">
        <v>365</v>
      </c>
      <c r="G68" s="248">
        <v>365</v>
      </c>
      <c r="H68" s="248">
        <v>365</v>
      </c>
      <c r="I68" s="248">
        <v>365</v>
      </c>
      <c r="J68" s="248">
        <v>365</v>
      </c>
      <c r="K68" s="248">
        <v>365</v>
      </c>
      <c r="L68" s="248">
        <v>365</v>
      </c>
      <c r="M68" s="248">
        <v>365</v>
      </c>
      <c r="N68" s="248">
        <v>365</v>
      </c>
      <c r="O68" s="248">
        <v>365</v>
      </c>
      <c r="P68" s="248">
        <v>365</v>
      </c>
      <c r="Q68" s="248">
        <v>365</v>
      </c>
      <c r="R68" s="248">
        <v>365</v>
      </c>
      <c r="S68" s="248">
        <v>365</v>
      </c>
      <c r="T68" s="248">
        <v>365</v>
      </c>
      <c r="U68" s="248">
        <v>365</v>
      </c>
      <c r="V68" s="248">
        <v>365</v>
      </c>
      <c r="W68" s="248">
        <v>365</v>
      </c>
      <c r="X68" s="248">
        <v>365</v>
      </c>
      <c r="Y68" s="248">
        <v>365</v>
      </c>
      <c r="Z68" s="248">
        <v>365</v>
      </c>
      <c r="AA68" s="248">
        <v>365</v>
      </c>
      <c r="AB68" s="248">
        <v>365</v>
      </c>
      <c r="AC68" s="248">
        <v>365</v>
      </c>
      <c r="AD68" s="248">
        <v>365</v>
      </c>
      <c r="AE68" s="248">
        <v>365</v>
      </c>
      <c r="AF68" s="248">
        <v>365</v>
      </c>
      <c r="AG68" s="248">
        <v>365</v>
      </c>
      <c r="AH68" s="248">
        <v>365</v>
      </c>
      <c r="AI68" s="248">
        <v>365</v>
      </c>
      <c r="AJ68" s="248">
        <v>365</v>
      </c>
      <c r="AK68" s="248">
        <v>365</v>
      </c>
      <c r="AL68" s="248">
        <v>365</v>
      </c>
      <c r="AM68" s="248">
        <v>365</v>
      </c>
      <c r="AN68" s="248">
        <v>365</v>
      </c>
      <c r="AO68" s="248">
        <v>365</v>
      </c>
      <c r="AP68" s="248">
        <v>365</v>
      </c>
      <c r="AQ68" s="248">
        <v>365</v>
      </c>
      <c r="AR68" s="248">
        <v>365</v>
      </c>
      <c r="AS68" s="248">
        <v>365</v>
      </c>
      <c r="AT68" s="248">
        <v>365</v>
      </c>
      <c r="AU68" s="248">
        <v>365</v>
      </c>
      <c r="AV68" s="248">
        <v>365</v>
      </c>
      <c r="AW68" s="248">
        <v>365</v>
      </c>
      <c r="AX68" s="248">
        <v>365</v>
      </c>
      <c r="AY68" s="248">
        <v>365</v>
      </c>
      <c r="AZ68" s="248">
        <v>365</v>
      </c>
      <c r="BA68" s="248">
        <v>365</v>
      </c>
      <c r="BB68" s="248">
        <v>365</v>
      </c>
    </row>
    <row r="69" spans="1:54" ht="24">
      <c r="A69" t="s" s="157">
        <v>1833</v>
      </c>
      <c r="B69" s="145">
        <v>128</v>
      </c>
      <c r="C69" t="s" s="114">
        <v>349</v>
      </c>
      <c r="D69" t="s" s="38">
        <v>687</v>
      </c>
      <c r="E69" s="248">
        <v>365</v>
      </c>
      <c r="F69" s="248">
        <v>365</v>
      </c>
      <c r="G69" s="248">
        <v>365</v>
      </c>
      <c r="H69" s="248">
        <v>365</v>
      </c>
      <c r="I69" s="248">
        <v>365</v>
      </c>
      <c r="J69" s="248">
        <v>365</v>
      </c>
      <c r="K69" s="248">
        <v>365</v>
      </c>
      <c r="L69" s="248">
        <v>365</v>
      </c>
      <c r="M69" s="248">
        <v>365</v>
      </c>
      <c r="N69" s="248">
        <v>365</v>
      </c>
      <c r="O69" s="248">
        <v>365</v>
      </c>
      <c r="P69" s="248">
        <v>365</v>
      </c>
      <c r="Q69" s="248">
        <v>365</v>
      </c>
      <c r="R69" s="248">
        <v>365</v>
      </c>
      <c r="S69" s="248">
        <v>365</v>
      </c>
      <c r="T69" s="248">
        <v>365</v>
      </c>
      <c r="U69" s="248">
        <v>365</v>
      </c>
      <c r="V69" s="248">
        <v>365</v>
      </c>
      <c r="W69" s="248">
        <v>365</v>
      </c>
      <c r="X69" s="248">
        <v>365</v>
      </c>
      <c r="Y69" s="248">
        <v>365</v>
      </c>
      <c r="Z69" s="248">
        <v>365</v>
      </c>
      <c r="AA69" s="248">
        <v>365</v>
      </c>
      <c r="AB69" s="248">
        <v>365</v>
      </c>
      <c r="AC69" s="248">
        <v>365</v>
      </c>
      <c r="AD69" s="248">
        <v>365</v>
      </c>
      <c r="AE69" s="248">
        <v>365</v>
      </c>
      <c r="AF69" s="248">
        <v>365</v>
      </c>
      <c r="AG69" s="248">
        <v>365</v>
      </c>
      <c r="AH69" s="248">
        <v>365</v>
      </c>
      <c r="AI69" s="248">
        <v>365</v>
      </c>
      <c r="AJ69" s="248">
        <v>365</v>
      </c>
      <c r="AK69" s="248">
        <v>365</v>
      </c>
      <c r="AL69" s="248">
        <v>365</v>
      </c>
      <c r="AM69" s="248">
        <v>365</v>
      </c>
      <c r="AN69" s="248">
        <v>365</v>
      </c>
      <c r="AO69" s="248">
        <v>365</v>
      </c>
      <c r="AP69" s="248">
        <v>365</v>
      </c>
      <c r="AQ69" s="248">
        <v>365</v>
      </c>
      <c r="AR69" s="248">
        <v>365</v>
      </c>
      <c r="AS69" s="248">
        <v>365</v>
      </c>
      <c r="AT69" s="248">
        <v>365</v>
      </c>
      <c r="AU69" s="248">
        <v>365</v>
      </c>
      <c r="AV69" s="248">
        <v>365</v>
      </c>
      <c r="AW69" s="248">
        <v>365</v>
      </c>
      <c r="AX69" s="248">
        <v>365</v>
      </c>
      <c r="AY69" s="248">
        <v>365</v>
      </c>
      <c r="AZ69" s="248">
        <v>365</v>
      </c>
      <c r="BA69" s="248">
        <v>365</v>
      </c>
      <c r="BB69" s="248">
        <v>365</v>
      </c>
    </row>
    <row r="70" spans="1:54" ht="36">
      <c r="A70" t="s" s="157">
        <v>1833</v>
      </c>
      <c r="B70" s="145">
        <v>146</v>
      </c>
      <c r="C70" t="s" s="114">
        <v>1200</v>
      </c>
      <c r="D70" t="s" s="38">
        <v>608</v>
      </c>
      <c r="E70" t="s" s="148">
        <v>1865</v>
      </c>
      <c r="F70" t="s" s="148">
        <v>1865</v>
      </c>
      <c r="G70" t="s" s="148">
        <v>1865</v>
      </c>
      <c r="H70" t="s" s="148">
        <v>1865</v>
      </c>
      <c r="I70" t="s" s="148">
        <v>1865</v>
      </c>
      <c r="J70" t="s" s="148">
        <v>1865</v>
      </c>
      <c r="K70" t="s" s="148">
        <v>1865</v>
      </c>
      <c r="L70" t="s" s="148">
        <v>1865</v>
      </c>
      <c r="M70" t="s" s="148">
        <v>1865</v>
      </c>
      <c r="N70" t="s" s="148">
        <v>1865</v>
      </c>
      <c r="O70" t="s" s="148">
        <v>1865</v>
      </c>
      <c r="P70" t="s" s="148">
        <v>1865</v>
      </c>
      <c r="Q70" t="s" s="148">
        <v>1865</v>
      </c>
      <c r="R70" t="s" s="148">
        <v>1865</v>
      </c>
      <c r="S70" t="s" s="148">
        <v>1865</v>
      </c>
      <c r="T70" t="s" s="148">
        <v>1865</v>
      </c>
      <c r="U70" t="s" s="148">
        <v>1865</v>
      </c>
      <c r="V70" t="s" s="148">
        <v>1865</v>
      </c>
      <c r="W70" t="s" s="148">
        <v>1865</v>
      </c>
      <c r="X70" t="s" s="148">
        <v>1865</v>
      </c>
      <c r="Y70" t="s" s="148">
        <v>1865</v>
      </c>
      <c r="Z70" t="s" s="148">
        <v>1865</v>
      </c>
      <c r="AA70" t="s" s="148">
        <v>1865</v>
      </c>
      <c r="AB70" t="s" s="148">
        <v>1865</v>
      </c>
      <c r="AC70" t="s" s="148">
        <v>1865</v>
      </c>
      <c r="AD70" t="s" s="148">
        <v>1865</v>
      </c>
      <c r="AE70" t="s" s="148">
        <v>1865</v>
      </c>
      <c r="AF70" t="s" s="148">
        <v>1865</v>
      </c>
      <c r="AG70" t="s" s="148">
        <v>1865</v>
      </c>
      <c r="AH70" t="s" s="148">
        <v>1865</v>
      </c>
      <c r="AI70" t="s" s="148">
        <v>1865</v>
      </c>
      <c r="AJ70" t="s" s="148">
        <v>1865</v>
      </c>
      <c r="AK70" t="s" s="148">
        <v>1865</v>
      </c>
      <c r="AL70" t="s" s="148">
        <v>1865</v>
      </c>
      <c r="AM70" t="s" s="148">
        <v>1865</v>
      </c>
      <c r="AN70" t="s" s="148">
        <v>1865</v>
      </c>
      <c r="AO70" t="s" s="148">
        <v>1865</v>
      </c>
      <c r="AP70" t="s" s="148">
        <v>1865</v>
      </c>
      <c r="AQ70" t="s" s="148">
        <v>1865</v>
      </c>
      <c r="AR70" t="s" s="148">
        <v>1865</v>
      </c>
      <c r="AS70" t="s" s="148">
        <v>1865</v>
      </c>
      <c r="AT70" t="s" s="148">
        <v>1865</v>
      </c>
      <c r="AU70" t="s" s="148">
        <v>1865</v>
      </c>
      <c r="AV70" t="s" s="148">
        <v>1865</v>
      </c>
      <c r="AW70" t="s" s="148">
        <v>1865</v>
      </c>
      <c r="AX70" t="s" s="148">
        <v>1865</v>
      </c>
      <c r="AY70" t="s" s="148">
        <v>1865</v>
      </c>
      <c r="AZ70" t="s" s="148">
        <v>1865</v>
      </c>
      <c r="BA70" t="s" s="148">
        <v>1865</v>
      </c>
      <c r="BB70" t="s" s="148">
        <v>1865</v>
      </c>
    </row>
    <row r="71" spans="1:54" ht="24">
      <c r="A71" t="s" s="157">
        <v>1833</v>
      </c>
      <c r="B71" s="145">
        <v>151</v>
      </c>
      <c r="C71" t="s" s="114">
        <v>1100</v>
      </c>
      <c r="D71" t="s" s="38">
        <v>650</v>
      </c>
      <c r="E71" s="148"/>
      <c r="F71" s="148"/>
      <c r="G71" s="148"/>
      <c r="H71" s="148"/>
      <c r="I71" s="148"/>
      <c r="J71" s="148"/>
      <c r="K71" s="148"/>
      <c r="L71" s="148"/>
      <c r="M71" s="148"/>
      <c r="N71" s="148"/>
      <c r="O71" s="148"/>
      <c r="P71" s="148"/>
      <c r="Q71" s="148"/>
      <c r="R71" s="148"/>
      <c r="S71" s="148"/>
      <c r="T71" s="148"/>
      <c r="U71" s="148"/>
      <c r="V71" s="148"/>
      <c r="W71" s="148"/>
      <c r="X71" s="148"/>
      <c r="Y71" s="148"/>
      <c r="Z71" s="148"/>
      <c r="AA71" s="148"/>
      <c r="AB71" s="148"/>
      <c r="AC71" s="148"/>
      <c r="AD71" s="148"/>
      <c r="AE71" s="148"/>
      <c r="AF71" s="148"/>
      <c r="AG71" s="148"/>
      <c r="AH71" s="148"/>
      <c r="AI71" s="148"/>
      <c r="AJ71" s="148"/>
      <c r="AK71" s="148"/>
      <c r="AL71" s="148"/>
      <c r="AM71" s="148"/>
      <c r="AN71" s="148"/>
      <c r="AO71" s="148"/>
      <c r="AP71" s="148"/>
      <c r="AQ71" s="148"/>
      <c r="AR71" s="148"/>
      <c r="AS71" s="148"/>
      <c r="AT71" s="148"/>
      <c r="AU71" s="148"/>
      <c r="AV71" s="148"/>
      <c r="AW71" s="148"/>
      <c r="AX71" s="148"/>
      <c r="AY71" s="148"/>
      <c r="AZ71" s="148"/>
      <c r="BA71" s="148"/>
      <c r="BB71" s="148"/>
    </row>
    <row r="72" spans="1:54" ht="24">
      <c r="A72" t="s" s="157">
        <v>1833</v>
      </c>
      <c r="B72" s="145">
        <v>152</v>
      </c>
      <c r="C72" t="s" s="114">
        <v>1789</v>
      </c>
      <c r="D72" t="s" s="38">
        <v>839</v>
      </c>
      <c r="E72" s="148"/>
      <c r="F72" s="148"/>
      <c r="G72" s="148"/>
      <c r="H72" s="148"/>
      <c r="I72" s="148"/>
      <c r="J72" s="148"/>
      <c r="K72" s="148"/>
      <c r="L72" s="148"/>
      <c r="M72" s="148"/>
      <c r="N72" s="148"/>
      <c r="O72" s="148"/>
      <c r="P72" s="148"/>
      <c r="Q72" s="148"/>
      <c r="R72" s="148"/>
      <c r="S72" s="148"/>
      <c r="T72" s="148"/>
      <c r="U72" s="148"/>
      <c r="V72" s="148"/>
      <c r="W72" s="148"/>
      <c r="X72" s="148"/>
      <c r="Y72" s="148"/>
      <c r="Z72" s="148"/>
      <c r="AA72" s="148"/>
      <c r="AB72" s="148"/>
      <c r="AC72" s="148"/>
      <c r="AD72" s="148"/>
      <c r="AE72" s="148"/>
      <c r="AF72" s="148"/>
      <c r="AG72" s="148"/>
      <c r="AH72" s="148"/>
      <c r="AI72" s="148"/>
      <c r="AJ72" s="148"/>
      <c r="AK72" s="148"/>
      <c r="AL72" s="148"/>
      <c r="AM72" s="148"/>
      <c r="AN72" s="148"/>
      <c r="AO72" s="148"/>
      <c r="AP72" s="148"/>
      <c r="AQ72" s="148"/>
      <c r="AR72" s="148"/>
      <c r="AS72" s="148"/>
      <c r="AT72" s="148"/>
      <c r="AU72" s="148"/>
      <c r="AV72" s="148"/>
      <c r="AW72" s="148"/>
      <c r="AX72" s="148"/>
      <c r="AY72" s="148"/>
      <c r="AZ72" s="148"/>
      <c r="BA72" s="148"/>
      <c r="BB72" s="148"/>
    </row>
    <row r="73" spans="1:54" ht="36">
      <c r="A73" t="s" s="157">
        <v>1833</v>
      </c>
      <c r="B73" s="145">
        <v>157</v>
      </c>
      <c r="C73" t="s" s="114">
        <v>1764</v>
      </c>
      <c r="D73" t="s" s="38">
        <v>1936</v>
      </c>
      <c r="E73" s="253"/>
      <c r="F73" s="253"/>
      <c r="G73" s="253"/>
      <c r="H73" s="253"/>
      <c r="I73" s="253"/>
      <c r="J73" s="253"/>
      <c r="K73" s="253"/>
      <c r="L73" s="253"/>
      <c r="M73" s="253"/>
      <c r="N73" s="253"/>
      <c r="O73" s="253"/>
      <c r="P73" s="253"/>
      <c r="Q73" s="253"/>
      <c r="R73" s="253"/>
      <c r="S73" s="253"/>
      <c r="T73" s="253"/>
      <c r="U73" s="253"/>
      <c r="V73" s="253"/>
      <c r="W73" s="253"/>
      <c r="X73" s="253"/>
      <c r="Y73" s="253"/>
      <c r="Z73" s="253"/>
      <c r="AA73" s="253"/>
      <c r="AB73" s="253"/>
      <c r="AC73" s="253"/>
      <c r="AD73" s="253"/>
      <c r="AE73" s="253"/>
      <c r="AF73" s="253"/>
      <c r="AG73" s="253"/>
      <c r="AH73" s="253"/>
      <c r="AI73" s="253"/>
      <c r="AJ73" s="253"/>
      <c r="AK73" s="253"/>
      <c r="AL73" s="253"/>
      <c r="AM73" s="253"/>
      <c r="AN73" s="253"/>
      <c r="AO73" s="253"/>
      <c r="AP73" s="253"/>
      <c r="AQ73" s="253"/>
      <c r="AR73" s="253"/>
      <c r="AS73" s="253"/>
      <c r="AT73" s="253"/>
      <c r="AU73" s="253"/>
      <c r="AV73" s="253"/>
      <c r="AW73" s="253"/>
      <c r="AX73" s="253"/>
      <c r="AY73" s="253"/>
      <c r="AZ73" s="253"/>
      <c r="BA73" s="253"/>
      <c r="BB73" s="253"/>
    </row>
    <row r="74" spans="1:54" ht="36">
      <c r="A74" t="s" s="157">
        <v>1833</v>
      </c>
      <c r="B74" s="145">
        <v>164</v>
      </c>
      <c r="C74" t="s" s="127">
        <v>1623</v>
      </c>
      <c r="D74" t="s" s="38">
        <v>420</v>
      </c>
      <c r="E74" s="148"/>
      <c r="F74" s="148"/>
      <c r="G74" s="148"/>
      <c r="H74" s="148"/>
      <c r="I74" s="148"/>
      <c r="J74" s="148"/>
      <c r="K74" s="148"/>
      <c r="L74" s="148"/>
      <c r="M74" s="148"/>
      <c r="N74" s="148"/>
      <c r="O74" s="148"/>
      <c r="P74" s="148"/>
      <c r="Q74" s="148"/>
      <c r="R74" s="148"/>
      <c r="S74" s="148"/>
      <c r="T74" s="148"/>
      <c r="U74" s="148"/>
      <c r="V74" s="148"/>
      <c r="W74" s="148"/>
      <c r="X74" s="148"/>
      <c r="Y74" s="148"/>
      <c r="Z74" s="148"/>
      <c r="AA74" s="148"/>
      <c r="AB74" s="148"/>
      <c r="AC74" s="148"/>
      <c r="AD74" s="148"/>
      <c r="AE74" s="148"/>
      <c r="AF74" s="148"/>
      <c r="AG74" s="148"/>
      <c r="AH74" s="148"/>
      <c r="AI74" s="148"/>
      <c r="AJ74" s="148"/>
      <c r="AK74" s="148"/>
      <c r="AL74" s="148"/>
      <c r="AM74" s="148"/>
      <c r="AN74" s="148"/>
      <c r="AO74" s="148"/>
      <c r="AP74" s="148"/>
      <c r="AQ74" s="148"/>
      <c r="AR74" s="148"/>
      <c r="AS74" s="148"/>
      <c r="AT74" s="148"/>
      <c r="AU74" s="148"/>
      <c r="AV74" s="148"/>
      <c r="AW74" s="148"/>
      <c r="AX74" s="148"/>
      <c r="AY74" s="148"/>
      <c r="AZ74" s="148"/>
      <c r="BA74" s="148"/>
      <c r="BB74" s="148"/>
    </row>
    <row r="75" spans="1:54" ht="36">
      <c r="A75" t="s" s="157">
        <v>1833</v>
      </c>
      <c r="B75" s="145">
        <v>165</v>
      </c>
      <c r="C75" t="s" s="127">
        <v>11</v>
      </c>
      <c r="D75" t="s" s="38">
        <v>430</v>
      </c>
      <c r="E75" s="248"/>
      <c r="F75" s="248"/>
      <c r="G75" s="248"/>
      <c r="H75" s="248"/>
      <c r="I75" s="248"/>
      <c r="J75" s="248"/>
      <c r="K75" s="248"/>
      <c r="L75" s="248"/>
      <c r="M75" s="248"/>
      <c r="N75" s="248"/>
      <c r="O75" s="248"/>
      <c r="P75" s="248"/>
      <c r="Q75" s="248"/>
      <c r="R75" s="248"/>
      <c r="S75" s="248"/>
      <c r="T75" s="248"/>
      <c r="U75" s="248"/>
      <c r="V75" s="248"/>
      <c r="W75" s="248"/>
      <c r="X75" s="248"/>
      <c r="Y75" s="248"/>
      <c r="Z75" s="248"/>
      <c r="AA75" s="248"/>
      <c r="AB75" s="248"/>
      <c r="AC75" s="248"/>
      <c r="AD75" s="248"/>
      <c r="AE75" s="248"/>
      <c r="AF75" s="248"/>
      <c r="AG75" s="248"/>
      <c r="AH75" s="248"/>
      <c r="AI75" s="248"/>
      <c r="AJ75" s="248"/>
      <c r="AK75" s="248"/>
      <c r="AL75" s="248"/>
      <c r="AM75" s="248"/>
      <c r="AN75" s="248"/>
      <c r="AO75" s="248"/>
      <c r="AP75" s="248"/>
      <c r="AQ75" s="248"/>
      <c r="AR75" s="248"/>
      <c r="AS75" s="248"/>
      <c r="AT75" s="248"/>
      <c r="AU75" s="248"/>
      <c r="AV75" s="248"/>
      <c r="AW75" s="248"/>
      <c r="AX75" s="248"/>
      <c r="AY75" s="248"/>
      <c r="AZ75" s="248"/>
      <c r="BA75" s="248"/>
      <c r="BB75" s="248"/>
    </row>
    <row r="76" spans="1:54" ht="96">
      <c r="A76" t="s" s="157">
        <v>1833</v>
      </c>
      <c r="B76" s="145">
        <v>166</v>
      </c>
      <c r="C76" t="s" s="127">
        <v>1694</v>
      </c>
      <c r="D76" t="s" s="38">
        <v>12</v>
      </c>
      <c r="E76" t="s" s="148">
        <v>1055</v>
      </c>
      <c r="F76" t="s" s="148">
        <v>1055</v>
      </c>
      <c r="G76" t="s" s="148">
        <v>1055</v>
      </c>
      <c r="H76" t="s" s="148">
        <v>1055</v>
      </c>
      <c r="I76" t="s" s="148">
        <v>1055</v>
      </c>
      <c r="J76" t="s" s="148">
        <v>1055</v>
      </c>
      <c r="K76" t="s" s="148">
        <v>1055</v>
      </c>
      <c r="L76" t="s" s="148">
        <v>1055</v>
      </c>
      <c r="M76" t="s" s="148">
        <v>1055</v>
      </c>
      <c r="N76" t="s" s="148">
        <v>1055</v>
      </c>
      <c r="O76" t="s" s="148">
        <v>1055</v>
      </c>
      <c r="P76" t="s" s="148">
        <v>1055</v>
      </c>
      <c r="Q76" t="s" s="148">
        <v>1055</v>
      </c>
      <c r="R76" t="s" s="148">
        <v>1055</v>
      </c>
      <c r="S76" t="s" s="148">
        <v>1055</v>
      </c>
      <c r="T76" t="s" s="148">
        <v>1055</v>
      </c>
      <c r="U76" t="s" s="148">
        <v>1055</v>
      </c>
      <c r="V76" t="s" s="148">
        <v>1055</v>
      </c>
      <c r="W76" t="s" s="148">
        <v>1055</v>
      </c>
      <c r="X76" t="s" s="148">
        <v>1055</v>
      </c>
      <c r="Y76" t="s" s="148">
        <v>1055</v>
      </c>
      <c r="Z76" t="s" s="148">
        <v>1055</v>
      </c>
      <c r="AA76" t="s" s="148">
        <v>1055</v>
      </c>
      <c r="AB76" t="s" s="148">
        <v>1055</v>
      </c>
      <c r="AC76" t="s" s="148">
        <v>1055</v>
      </c>
      <c r="AD76" t="s" s="148">
        <v>1055</v>
      </c>
      <c r="AE76" t="s" s="148">
        <v>1055</v>
      </c>
      <c r="AF76" t="s" s="148">
        <v>1055</v>
      </c>
      <c r="AG76" t="s" s="148">
        <v>1055</v>
      </c>
      <c r="AH76" t="s" s="148">
        <v>1055</v>
      </c>
      <c r="AI76" t="s" s="148">
        <v>1055</v>
      </c>
      <c r="AJ76" t="s" s="148">
        <v>1055</v>
      </c>
      <c r="AK76" t="s" s="148">
        <v>1055</v>
      </c>
      <c r="AL76" t="s" s="148">
        <v>1055</v>
      </c>
      <c r="AM76" t="s" s="148">
        <v>1055</v>
      </c>
      <c r="AN76" t="s" s="148">
        <v>1055</v>
      </c>
      <c r="AO76" t="s" s="148">
        <v>1055</v>
      </c>
      <c r="AP76" t="s" s="148">
        <v>1055</v>
      </c>
      <c r="AQ76" t="s" s="148">
        <v>1055</v>
      </c>
      <c r="AR76" t="s" s="148">
        <v>1055</v>
      </c>
      <c r="AS76" t="s" s="148">
        <v>1055</v>
      </c>
      <c r="AT76" t="s" s="148">
        <v>1055</v>
      </c>
      <c r="AU76" t="s" s="148">
        <v>1055</v>
      </c>
      <c r="AV76" t="s" s="148">
        <v>1055</v>
      </c>
      <c r="AW76" t="s" s="148">
        <v>1055</v>
      </c>
      <c r="AX76" t="s" s="148">
        <v>1055</v>
      </c>
      <c r="AY76" t="s" s="148">
        <v>1055</v>
      </c>
      <c r="AZ76" t="s" s="148">
        <v>1055</v>
      </c>
      <c r="BA76" t="s" s="148">
        <v>1055</v>
      </c>
      <c r="BB76" t="s" s="148">
        <v>1055</v>
      </c>
    </row>
    <row r="77" spans="1:54" ht="60">
      <c r="A77" t="s" s="157">
        <v>1833</v>
      </c>
      <c r="B77" s="145">
        <v>167</v>
      </c>
      <c r="C77" t="s" s="127">
        <v>736</v>
      </c>
      <c r="D77" t="s" s="38">
        <v>1937</v>
      </c>
      <c r="E77" s="148"/>
      <c r="F77" s="148"/>
      <c r="G77" s="148"/>
      <c r="H77" s="148"/>
      <c r="I77" s="148"/>
      <c r="J77" s="148"/>
      <c r="K77" s="148"/>
      <c r="L77" s="148"/>
      <c r="M77" s="148"/>
      <c r="N77" s="148"/>
      <c r="O77" s="148"/>
      <c r="P77" s="148"/>
      <c r="Q77" s="148"/>
      <c r="R77" s="148"/>
      <c r="S77" s="148"/>
      <c r="T77" s="148"/>
      <c r="U77" s="148"/>
      <c r="V77" s="148"/>
      <c r="W77" s="148"/>
      <c r="X77" s="148"/>
      <c r="Y77" s="148"/>
      <c r="Z77" s="148"/>
      <c r="AA77" s="148"/>
      <c r="AB77" s="148"/>
      <c r="AC77" s="148"/>
      <c r="AD77" s="148"/>
      <c r="AE77" s="148"/>
      <c r="AF77" s="148"/>
      <c r="AG77" s="148"/>
      <c r="AH77" s="148"/>
      <c r="AI77" s="148"/>
      <c r="AJ77" s="148"/>
      <c r="AK77" s="148"/>
      <c r="AL77" s="148"/>
      <c r="AM77" s="148"/>
      <c r="AN77" s="148"/>
      <c r="AO77" s="148"/>
      <c r="AP77" s="148"/>
      <c r="AQ77" s="148"/>
      <c r="AR77" s="148"/>
      <c r="AS77" s="148"/>
      <c r="AT77" s="148"/>
      <c r="AU77" s="148"/>
      <c r="AV77" s="148"/>
      <c r="AW77" s="148"/>
      <c r="AX77" s="148"/>
      <c r="AY77" s="148"/>
      <c r="AZ77" s="148"/>
      <c r="BA77" s="148"/>
      <c r="BB77" s="148"/>
    </row>
    <row r="78" spans="1:54" ht="60">
      <c r="A78" t="s" s="157">
        <v>1833</v>
      </c>
      <c r="B78" s="145">
        <v>175</v>
      </c>
      <c r="C78" t="s" s="23">
        <v>1134</v>
      </c>
      <c r="D78" t="s" s="38">
        <v>1938</v>
      </c>
      <c r="E78" s="148"/>
      <c r="F78" s="148"/>
      <c r="G78" s="148"/>
      <c r="H78" s="148"/>
      <c r="I78" s="148"/>
      <c r="J78" s="148"/>
      <c r="K78" s="148"/>
      <c r="L78" s="148"/>
      <c r="M78" s="148"/>
      <c r="N78" s="148"/>
      <c r="O78" s="148"/>
      <c r="P78" s="148"/>
      <c r="Q78" s="148"/>
      <c r="R78" s="148"/>
      <c r="S78" s="148"/>
      <c r="T78" s="148"/>
      <c r="U78" s="148"/>
      <c r="V78" s="148"/>
      <c r="W78" s="148"/>
      <c r="X78" s="148"/>
      <c r="Y78" s="148"/>
      <c r="Z78" s="148"/>
      <c r="AA78" s="148"/>
      <c r="AB78" s="148"/>
      <c r="AC78" s="148"/>
      <c r="AD78" s="148"/>
      <c r="AE78" s="148"/>
      <c r="AF78" s="148"/>
      <c r="AG78" s="148"/>
      <c r="AH78" s="148"/>
      <c r="AI78" s="148"/>
      <c r="AJ78" s="148"/>
      <c r="AK78" s="148"/>
      <c r="AL78" s="148"/>
      <c r="AM78" s="148"/>
      <c r="AN78" s="148"/>
      <c r="AO78" s="148"/>
      <c r="AP78" s="148"/>
      <c r="AQ78" s="148"/>
      <c r="AR78" s="148"/>
      <c r="AS78" s="148"/>
      <c r="AT78" s="148"/>
      <c r="AU78" s="148"/>
      <c r="AV78" s="148"/>
      <c r="AW78" s="148"/>
      <c r="AX78" s="148"/>
      <c r="AY78" s="148"/>
      <c r="AZ78" s="148"/>
      <c r="BA78" s="148"/>
      <c r="BB78" s="148"/>
    </row>
  </sheetData>
  <sheetProtection selectLockedCells="1"/>
  <mergeCells count="8">
    <mergeCell ref="E5:G5"/>
    <mergeCell ref="H5:I5"/>
    <mergeCell ref="E1:G1"/>
    <mergeCell ref="E2:G2"/>
    <mergeCell ref="H1:I1"/>
    <mergeCell ref="H2:I2"/>
    <mergeCell ref="E4:G4"/>
    <mergeCell ref="H4:I4"/>
  </mergeCells>
  <conditionalFormatting sqref="D5:I5">
    <cfRule type="containsBlanks" dxfId="94" priority="179" stopIfTrue="1">
      <formula>LEN(TRIM(A1))=0</formula>
    </cfRule>
  </conditionalFormatting>
  <conditionalFormatting sqref="C5">
    <cfRule type="containsBlanks" dxfId="93" priority="180" stopIfTrue="1">
      <formula>LEN(TRIM(A1))=0</formula>
    </cfRule>
  </conditionalFormatting>
  <conditionalFormatting sqref="C2:I2">
    <cfRule type="containsBlanks" dxfId="92" priority="181" stopIfTrue="1">
      <formula>LEN(TRIM(A1))=0</formula>
    </cfRule>
  </conditionalFormatting>
  <conditionalFormatting sqref="A1:A27 A79:A64881">
    <cfRule type="cellIs" dxfId="91" priority="182" stopIfTrue="1" operator="equal">
      <formula>"R"</formula>
    </cfRule>
    <cfRule type="cellIs" dxfId="90" priority="183" stopIfTrue="1" operator="equal">
      <formula>"B"</formula>
    </cfRule>
    <cfRule type="cellIs" dxfId="89" priority="184" stopIfTrue="1" operator="equal">
      <formula>"V"</formula>
    </cfRule>
  </conditionalFormatting>
  <conditionalFormatting sqref="A28:A78">
    <cfRule type="cellIs" dxfId="88" priority="33" stopIfTrue="1" operator="equal">
      <formula>"R"</formula>
    </cfRule>
    <cfRule type="cellIs" dxfId="87" priority="34" stopIfTrue="1" operator="equal">
      <formula>"B"</formula>
    </cfRule>
    <cfRule type="cellIs" dxfId="86" priority="35" stopIfTrue="1" operator="equal">
      <formula>"V"</formula>
    </cfRule>
  </conditionalFormatting>
  <conditionalFormatting sqref="E67:BB67">
    <cfRule type="containsBlanks" dxfId="85" priority="10">
      <formula>LEN(TRIM(A26))=0</formula>
    </cfRule>
  </conditionalFormatting>
  <conditionalFormatting sqref="E68:BB68">
    <cfRule type="containsBlanks" dxfId="84" priority="11">
      <formula>LEN(TRIM(A26))=0</formula>
    </cfRule>
  </conditionalFormatting>
  <conditionalFormatting sqref="E78:BB78">
    <cfRule type="containsBlanks" dxfId="83" priority="15">
      <formula>LEN(TRIM(A26))=0</formula>
    </cfRule>
  </conditionalFormatting>
  <conditionalFormatting sqref="E69:BB69">
    <cfRule type="containsBlanks" dxfId="82" priority="16">
      <formula>LEN(TRIM(A26))=0</formula>
    </cfRule>
  </conditionalFormatting>
  <conditionalFormatting sqref="E77:BB77">
    <cfRule type="containsBlanks" dxfId="81" priority="25">
      <formula>LEN(TRIM(A26))=0</formula>
    </cfRule>
  </conditionalFormatting>
  <conditionalFormatting sqref="E36:BB36">
    <cfRule type="expression" dxfId="80" priority="27" stopIfTrue="1">
      <formula>IF(AND(Mer_sup&lt;&gt;"",E36&lt;&gt;Mer_sup),TRUE,FALSE)</formula>
    </cfRule>
  </conditionalFormatting>
  <conditionalFormatting sqref="E28:BB28">
    <cfRule type="expression" dxfId="79" priority="28" stopIfTrue="1">
      <formula>IF(AND(Mer_dep&lt;&gt;"",E28&lt;&gt;Mer_dep),TRUE,FALSE)</formula>
    </cfRule>
  </conditionalFormatting>
  <conditionalFormatting sqref="E56:BB56">
    <cfRule type="containsText" dxfId="78" priority="29" stopIfTrue="1" operator="containsText" text="N">
      <formula>NOT(ISERROR(SEARCH("N",A26)))</formula>
    </cfRule>
    <cfRule type="cellIs" dxfId="77" priority="30" stopIfTrue="1" operator="equal">
      <formula>"N"</formula>
    </cfRule>
  </conditionalFormatting>
  <conditionalFormatting sqref="E58:BB58">
    <cfRule type="notContainsBlanks" dxfId="76" priority="31" stopIfTrue="1">
      <formula>LEN(TRIM(A26))&gt;0</formula>
    </cfRule>
  </conditionalFormatting>
  <conditionalFormatting sqref="E28:BB66">
    <cfRule type="containsBlanks" dxfId="75" priority="192">
      <formula>LEN(TRIM(#REF!))=0</formula>
    </cfRule>
  </conditionalFormatting>
  <conditionalFormatting sqref="E70:BB76">
    <cfRule type="containsBlanks" dxfId="74" priority="199">
      <formula>LEN(TRIM(#REF!))=0</formula>
    </cfRule>
  </conditionalFormatting>
  <dataValidations count="22">
    <dataValidation type="list" allowBlank="1" showInputMessage="1" showErrorMessage="1" sqref="D9 D11 D13 D15 D17 D19 D21" xr:uid="{00000000-0002-0000-0000-000000000000}">
      <formula1>OFFSET(INDEX(Case_Options,1,1),MATCH(G9,Case_Options,0)-1,2,COUNTA(OFFSET(INDEX(Case_Options,1,1),MATCH(G9,Case_Options,0)-1,2,9,1)),1)</formula1>
    </dataValidation>
    <dataValidation type="list" allowBlank="1" showInputMessage="1" showErrorMessage="1" sqref="D7" xr:uid="{00000000-0002-0000-0000-000001000000}">
      <formula1>"Merchant/Other @ BBY Canada, Vendor"</formula1>
    </dataValidation>
    <dataValidation allowBlank="1" showInputMessage="1" showErrorMessage="1" prompt="Example: CSG-Home Theatre, Service-PSP, Connect Pro, Geek Squad, etc." sqref="C5" xr:uid="{00000000-0002-0000-0000-000002000000}"/>
    <dataValidation type="list" allowBlank="1" showInputMessage="1" showErrorMessage="1" sqref="E56:BB57 E62:BB64 E66:BB66 E76:BB76" xr:uid="{54980C45-0EEC-4F49-8EBA-22BF51A8BD03}">
      <formula1>"Y,N"</formula1>
    </dataValidation>
    <dataValidation type="date" operator="greaterThan" allowBlank="1" showInputMessage="1" showErrorMessage="1" sqref="E61:BB61 E73:BB73" xr:uid="{B3D84493-5C58-D145-B399-AF8D166CBF01}">
      <formula1>40940</formula1>
    </dataValidation>
    <dataValidation type="list" showInputMessage="1" showErrorMessage="1" sqref="E70:BB70" xr:uid="{00B6E4AD-767C-5A42-B822-FF283B106F73}">
      <formula1>"PARTS &amp; LABOUR, LABOUR ONLY, PARTS ONLY"</formula1>
    </dataValidation>
    <dataValidation type="textLength" operator="lessThanOrEqual" allowBlank="1" showInputMessage="1" showErrorMessage="1" sqref="E29:BB29 E33:BB33" xr:uid="{4A65B301-CDB0-7442-A446-79EA3ABE48FA}">
      <formula1>20</formula1>
    </dataValidation>
    <dataValidation type="whole" allowBlank="1" showInputMessage="1" showErrorMessage="1" sqref="E65:BB65" xr:uid="{509727DC-A78C-EA4A-A7BE-E32CC8A6CA7F}">
      <formula1>1000000000</formula1>
      <formula2>9999999999</formula2>
    </dataValidation>
    <dataValidation type="textLength" allowBlank="1" showInputMessage="1" showErrorMessage="1" sqref="E31:BB32" xr:uid="{8776A404-9131-3C46-9B73-5364B4AE0EA9}">
      <formula1>12</formula1>
      <formula2>13</formula2>
    </dataValidation>
    <dataValidation type="whole" allowBlank="1" showInputMessage="1" showErrorMessage="1" sqref="E36:BB36 E51:BB52 E48:BB49 E54:BB55" xr:uid="{9834E103-C2BE-234D-B419-7AA16D7E0D9C}">
      <formula1>1</formula1>
      <formula2>99999999</formula2>
    </dataValidation>
    <dataValidation type="decimal" allowBlank="1" showInputMessage="1" showErrorMessage="1" sqref="E38:BB39 E50:BB50 E53:BB53" xr:uid="{983FCDAF-672D-664A-AFA6-C197E552E6C2}">
      <formula1>0</formula1>
      <formula2>99999999</formula2>
    </dataValidation>
    <dataValidation type="textLength" operator="lessThanOrEqual" allowBlank="1" showInputMessage="1" showErrorMessage="1" prompt="Maximum 30 characters only" sqref="E35:BB35" xr:uid="{52B20957-3FF8-0F4F-A58D-4726F1711DF3}">
      <formula1>30</formula1>
    </dataValidation>
    <dataValidation type="textLength" operator="lessThanOrEqual" allowBlank="1" showInputMessage="1" showErrorMessage="1" prompt="Upto 255 characters only" sqref="E71:BB72" xr:uid="{63BB9D1D-CB45-8840-B35D-68CCD71BD9A2}">
      <formula1>255</formula1>
    </dataValidation>
    <dataValidation type="decimal" allowBlank="1" showInputMessage="1" showErrorMessage="1" sqref="E40:BB47" xr:uid="{D0B706AB-5ACF-F64F-A645-A54873C7DEF7}">
      <formula1>0</formula1>
      <formula2>99999</formula2>
    </dataValidation>
    <dataValidation type="textLength" operator="lessThanOrEqual" allowBlank="1" showInputMessage="1" showErrorMessage="1" sqref="E30:BB30" xr:uid="{AC70D237-0324-954A-803B-19CDAAED4138}">
      <formula1>40</formula1>
    </dataValidation>
    <dataValidation type="whole" showInputMessage="1" showErrorMessage="1" sqref="E28:BB28" xr:uid="{83BB9943-F082-EC47-9455-4F64EFACEAE0}">
      <formula1>1</formula1>
      <formula2>9999</formula2>
    </dataValidation>
    <dataValidation type="list" allowBlank="1" showInputMessage="1" showErrorMessage="1" sqref="E78:BB78" xr:uid="{C8EABDD6-233E-1940-AF5D-06E51B9C32A3}">
      <formula1>"Y_1, N_0"</formula1>
    </dataValidation>
    <dataValidation type="list" allowBlank="1" showInputMessage="1" showErrorMessage="1" sqref="E58:BB59 E77:BB77" xr:uid="{29CE1D45-CD3E-5945-AF1B-22BF636F425F}">
      <formula1>"Y_1,N_0"</formula1>
    </dataValidation>
    <dataValidation type="list" allowBlank="1" showInputMessage="1" showErrorMessage="1" sqref="E74:BB74" xr:uid="{57445AE6-6E52-1744-B939-F834D544D1AD}">
      <formula1>"Expiration Date_1,Lot Number_2,Both (Expiration Date&amp;Lot Number)_3"</formula1>
    </dataValidation>
    <dataValidation type="list" allowBlank="1" showInputMessage="1" showErrorMessage="1" sqref="E75:BB75" xr:uid="{20D14B7C-7DE8-CC45-AA1C-E05F52FDAE45}">
      <formula1>"1-6 Months_1,6-12 Months_2,12-18 Months_3,18-24 Months_4,24 + Months_5"</formula1>
    </dataValidation>
    <dataValidation type="list" showInputMessage="1" showErrorMessage="1" sqref="E60:BB60" xr:uid="{11BFCC4B-346A-A24F-99AC-64C722673931}">
      <formula1>INDIRECT(SUBSTITUTE($C60," ","_"))</formula1>
    </dataValidation>
    <dataValidation type="list" showInputMessage="1" showErrorMessage="1" promptTitle="YEARS     //  DAYS" prompt="  1 YR       =   365_x000a_  18 MOs  =   548_x000a_  2 YRS     =   730_x000a_  3 YRS     = 1095_x000a_  4 YRS     = 1460_x000a_  5 YRS     = 1825_x000a_  6 YRS     = 2190_x000a_  7 YRS     = 2555_x000a_10 YRS     = 3650_x000a_15 YRS     = 5475_x000a_20 YRS     = 7300_x000a_25 YRS     = 9125_x000a_LIFETIME = 9999" sqref="E67:BB69" xr:uid="{BB132591-7C99-1047-A9F5-C124B3786688}">
      <formula1>"0,30,45,60,90,120,180,182,270,365,548,730,1095,1460,1825,2190,2555,3650,5475,7300,9125,9999"</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tabColor theme="1"/>
  </sheetPr>
  <sheetViews>
    <sheetView showGridLines="0" zoomScaleNormal="100" zoomScaleSheetLayoutView="100" workbookViewId="0">
      <selection activeCell="E1" sqref="E1:BB1"/>
    </sheetView>
  </sheetViews>
  <sheetFormatPr baseColWidth="10" defaultColWidth="9.1640625" defaultRowHeight="15"/>
  <cols>
    <col min="1" max="1" width="2.83203125" style="157" customWidth="1"/>
    <col min="2" max="2" width="8.6640625" customWidth="1"/>
    <col min="3" max="3" width="35.6640625" customWidth="1"/>
    <col min="4" max="4" width="37.1640625" customWidth="1"/>
    <col min="5" max="5" width="11.83203125" customWidth="1"/>
  </cols>
  <sheetData>
    <row r="1" spans="1:54">
      <c r="A1" t="s" s="65">
        <v>511</v>
      </c>
      <c r="B1" t="s" s="218">
        <v>779</v>
      </c>
      <c r="C1" t="s" s="19">
        <v>1602</v>
      </c>
      <c r="D1" t="s" s="19">
        <v>1604</v>
      </c>
      <c r="E1" t="s" s="17">
        <v>68</v>
      </c>
      <c r="F1" t="s" s="19">
        <v>531</v>
      </c>
      <c r="G1" t="s" s="19">
        <v>1509</v>
      </c>
      <c r="H1" t="s" s="19">
        <v>158</v>
      </c>
      <c r="I1" t="s" s="19">
        <v>1131</v>
      </c>
      <c r="J1" t="s" s="19">
        <v>888</v>
      </c>
      <c r="K1" t="s" s="19">
        <v>525</v>
      </c>
      <c r="L1" t="s" s="19">
        <v>108</v>
      </c>
      <c r="M1" t="s" s="19">
        <v>1862</v>
      </c>
      <c r="N1" t="s" s="19">
        <v>586</v>
      </c>
      <c r="O1" t="s" s="19">
        <v>1409</v>
      </c>
      <c r="P1" t="s" s="19">
        <v>35</v>
      </c>
      <c r="Q1" t="s" s="19">
        <v>1537</v>
      </c>
      <c r="R1" t="s" s="19">
        <v>249</v>
      </c>
      <c r="S1" t="s" s="19">
        <v>1320</v>
      </c>
      <c r="T1" t="s" s="19">
        <v>53</v>
      </c>
      <c r="U1" t="s" s="19">
        <v>1116</v>
      </c>
      <c r="V1" t="s" s="19">
        <v>392</v>
      </c>
      <c r="W1" t="s" s="19">
        <v>916</v>
      </c>
      <c r="X1" t="s" s="19">
        <v>1192</v>
      </c>
      <c r="Y1" t="s" s="19">
        <v>449</v>
      </c>
      <c r="Z1" t="s" s="19">
        <v>946</v>
      </c>
      <c r="AA1" t="s" s="19">
        <v>1570</v>
      </c>
      <c r="AB1" t="s" s="19">
        <v>1821</v>
      </c>
      <c r="AC1" t="s" s="19">
        <v>419</v>
      </c>
      <c r="AD1" t="s" s="19">
        <v>309</v>
      </c>
      <c r="AE1" t="s" s="19">
        <v>840</v>
      </c>
      <c r="AF1" t="s" s="19">
        <v>467</v>
      </c>
      <c r="AG1" t="s" s="19">
        <v>983</v>
      </c>
      <c r="AH1" t="s" s="19">
        <v>1440</v>
      </c>
      <c r="AI1" t="s" s="19">
        <v>1423</v>
      </c>
      <c r="AJ1" t="s" s="19">
        <v>328</v>
      </c>
      <c r="AK1" t="s" s="19">
        <v>1288</v>
      </c>
      <c r="AL1" t="s" s="19">
        <v>541</v>
      </c>
      <c r="AM1" t="s" s="19">
        <v>149</v>
      </c>
      <c r="AN1" t="s" s="19">
        <v>693</v>
      </c>
      <c r="AO1" t="s" s="19">
        <v>1149</v>
      </c>
      <c r="AP1" t="s" s="19">
        <v>912</v>
      </c>
      <c r="AQ1" t="s" s="19">
        <v>1453</v>
      </c>
      <c r="AR1" t="s" s="19">
        <v>207</v>
      </c>
      <c r="AS1" t="s" s="19">
        <v>1207</v>
      </c>
      <c r="AT1" t="s" s="19">
        <v>1624</v>
      </c>
      <c r="AU1" t="s" s="19">
        <v>759</v>
      </c>
      <c r="AV1" t="s" s="19">
        <v>1203</v>
      </c>
      <c r="AW1" t="s" s="19">
        <v>351</v>
      </c>
      <c r="AX1" t="s" s="19">
        <v>1264</v>
      </c>
      <c r="AY1" t="s" s="19">
        <v>830</v>
      </c>
      <c r="AZ1" t="s" s="19">
        <v>89</v>
      </c>
      <c r="BA1" t="s" s="19">
        <v>1241</v>
      </c>
      <c r="BB1" t="s" s="19">
        <v>403</v>
      </c>
    </row>
    <row r="2" spans="1:54">
      <c r="B2" s="145">
        <v>1</v>
      </c>
      <c r="C2" t="s" s="114">
        <v>13</v>
      </c>
      <c r="D2" t="s" s="38">
        <v>607</v>
      </c>
      <c r="E2" t="s" s="32">
        <v>68</v>
      </c>
      <c r="F2" t="s" s="32">
        <v>68</v>
      </c>
      <c r="G2" t="s" s="32">
        <v>68</v>
      </c>
      <c r="H2" t="s" s="32">
        <v>68</v>
      </c>
      <c r="I2" t="s" s="32">
        <v>68</v>
      </c>
      <c r="J2" t="s" s="32">
        <v>68</v>
      </c>
      <c r="K2" t="s" s="32">
        <v>68</v>
      </c>
      <c r="L2" t="s" s="32">
        <v>68</v>
      </c>
      <c r="M2" t="s" s="32">
        <v>68</v>
      </c>
      <c r="N2" t="s" s="32">
        <v>68</v>
      </c>
      <c r="O2" t="s" s="32">
        <v>68</v>
      </c>
      <c r="P2" t="s" s="32">
        <v>68</v>
      </c>
      <c r="Q2" t="s" s="32">
        <v>68</v>
      </c>
      <c r="R2" t="s" s="32">
        <v>68</v>
      </c>
      <c r="S2" t="s" s="32">
        <v>68</v>
      </c>
      <c r="T2" t="s" s="32">
        <v>68</v>
      </c>
      <c r="U2" t="s" s="32">
        <v>68</v>
      </c>
      <c r="V2" t="s" s="32">
        <v>68</v>
      </c>
      <c r="W2" t="s" s="32">
        <v>68</v>
      </c>
      <c r="X2" t="s" s="32">
        <v>68</v>
      </c>
      <c r="Y2" t="s" s="32">
        <v>68</v>
      </c>
      <c r="Z2" t="s" s="32">
        <v>68</v>
      </c>
      <c r="AA2" t="s" s="32">
        <v>68</v>
      </c>
      <c r="AB2" t="s" s="32">
        <v>68</v>
      </c>
      <c r="AC2" t="s" s="32">
        <v>68</v>
      </c>
      <c r="AD2" t="s" s="32">
        <v>68</v>
      </c>
      <c r="AE2" t="s" s="32">
        <v>68</v>
      </c>
      <c r="AF2" t="s" s="32">
        <v>68</v>
      </c>
      <c r="AG2" t="s" s="32">
        <v>68</v>
      </c>
      <c r="AH2" t="s" s="32">
        <v>68</v>
      </c>
      <c r="AI2" t="s" s="32">
        <v>68</v>
      </c>
      <c r="AJ2" t="s" s="32">
        <v>68</v>
      </c>
      <c r="AK2" t="s" s="32">
        <v>68</v>
      </c>
      <c r="AL2" t="s" s="32">
        <v>68</v>
      </c>
      <c r="AM2" t="s" s="32">
        <v>68</v>
      </c>
      <c r="AN2" t="s" s="32">
        <v>68</v>
      </c>
      <c r="AO2" t="s" s="32">
        <v>68</v>
      </c>
      <c r="AP2" t="s" s="32">
        <v>68</v>
      </c>
      <c r="AQ2" t="s" s="32">
        <v>68</v>
      </c>
      <c r="AR2" t="s" s="32">
        <v>68</v>
      </c>
      <c r="AS2" t="s" s="32">
        <v>68</v>
      </c>
      <c r="AT2" t="s" s="32">
        <v>68</v>
      </c>
      <c r="AU2" t="s" s="32">
        <v>68</v>
      </c>
      <c r="AV2" t="s" s="32">
        <v>68</v>
      </c>
      <c r="AW2" t="s" s="32">
        <v>68</v>
      </c>
      <c r="AX2" t="s" s="32">
        <v>68</v>
      </c>
      <c r="AY2" t="s" s="32">
        <v>68</v>
      </c>
      <c r="AZ2" t="s" s="32">
        <v>68</v>
      </c>
      <c r="BA2" t="s" s="32">
        <v>68</v>
      </c>
      <c r="BB2" t="s" s="32">
        <v>68</v>
      </c>
    </row>
    <row r="3" spans="1:54" ht="72">
      <c r="A3" t="s" s="157">
        <v>1548</v>
      </c>
      <c r="B3" s="145">
        <v>2</v>
      </c>
      <c r="C3" t="s" s="114">
        <v>1299</v>
      </c>
      <c r="D3" t="s" s="219">
        <v>1939</v>
      </c>
      <c r="E3" t="s" s="32">
        <v>68</v>
      </c>
      <c r="F3" t="s" s="32">
        <v>68</v>
      </c>
      <c r="G3" t="s" s="32">
        <v>68</v>
      </c>
      <c r="H3" t="s" s="32">
        <v>68</v>
      </c>
      <c r="I3" t="s" s="32">
        <v>68</v>
      </c>
      <c r="J3" t="s" s="32">
        <v>68</v>
      </c>
      <c r="K3" t="s" s="32">
        <v>68</v>
      </c>
      <c r="L3" t="s" s="32">
        <v>68</v>
      </c>
      <c r="M3" t="s" s="32">
        <v>68</v>
      </c>
      <c r="N3" t="s" s="32">
        <v>68</v>
      </c>
      <c r="O3" t="s" s="32">
        <v>68</v>
      </c>
      <c r="P3" t="s" s="32">
        <v>68</v>
      </c>
      <c r="Q3" t="s" s="32">
        <v>68</v>
      </c>
      <c r="R3" t="s" s="32">
        <v>68</v>
      </c>
      <c r="S3" t="s" s="32">
        <v>68</v>
      </c>
      <c r="T3" t="s" s="32">
        <v>68</v>
      </c>
      <c r="U3" t="s" s="32">
        <v>68</v>
      </c>
      <c r="V3" t="s" s="32">
        <v>68</v>
      </c>
      <c r="W3" t="s" s="32">
        <v>68</v>
      </c>
      <c r="X3" t="s" s="32">
        <v>68</v>
      </c>
      <c r="Y3" t="s" s="32">
        <v>68</v>
      </c>
      <c r="Z3" t="s" s="32">
        <v>68</v>
      </c>
      <c r="AA3" t="s" s="32">
        <v>68</v>
      </c>
      <c r="AB3" t="s" s="32">
        <v>68</v>
      </c>
      <c r="AC3" t="s" s="32">
        <v>68</v>
      </c>
      <c r="AD3" t="s" s="32">
        <v>68</v>
      </c>
      <c r="AE3" t="s" s="32">
        <v>68</v>
      </c>
      <c r="AF3" t="s" s="32">
        <v>68</v>
      </c>
      <c r="AG3" t="s" s="32">
        <v>68</v>
      </c>
      <c r="AH3" t="s" s="32">
        <v>68</v>
      </c>
      <c r="AI3" t="s" s="32">
        <v>68</v>
      </c>
      <c r="AJ3" t="s" s="32">
        <v>68</v>
      </c>
      <c r="AK3" t="s" s="32">
        <v>68</v>
      </c>
      <c r="AL3" t="s" s="32">
        <v>68</v>
      </c>
      <c r="AM3" t="s" s="32">
        <v>68</v>
      </c>
      <c r="AN3" t="s" s="32">
        <v>68</v>
      </c>
      <c r="AO3" t="s" s="32">
        <v>68</v>
      </c>
      <c r="AP3" t="s" s="32">
        <v>68</v>
      </c>
      <c r="AQ3" t="s" s="32">
        <v>68</v>
      </c>
      <c r="AR3" t="s" s="32">
        <v>68</v>
      </c>
      <c r="AS3" t="s" s="32">
        <v>68</v>
      </c>
      <c r="AT3" t="s" s="32">
        <v>68</v>
      </c>
      <c r="AU3" t="s" s="32">
        <v>68</v>
      </c>
      <c r="AV3" t="s" s="32">
        <v>68</v>
      </c>
      <c r="AW3" t="s" s="32">
        <v>68</v>
      </c>
      <c r="AX3" t="s" s="32">
        <v>68</v>
      </c>
      <c r="AY3" t="s" s="32">
        <v>68</v>
      </c>
      <c r="AZ3" t="s" s="32">
        <v>68</v>
      </c>
      <c r="BA3" t="s" s="32">
        <v>68</v>
      </c>
      <c r="BB3" t="s" s="32">
        <v>68</v>
      </c>
    </row>
    <row r="4" spans="1:54">
      <c r="A4" t="s" s="157">
        <v>1833</v>
      </c>
      <c r="B4" s="145">
        <v>3</v>
      </c>
      <c r="C4" t="s" s="114">
        <v>887</v>
      </c>
      <c r="D4" t="s" s="38">
        <v>1042</v>
      </c>
      <c r="E4" s="154"/>
      <c r="F4" s="154"/>
      <c r="G4" s="154"/>
      <c r="H4" s="154"/>
      <c r="I4" s="154"/>
      <c r="J4" s="154"/>
      <c r="K4" s="154"/>
      <c r="L4" s="154"/>
      <c r="M4" s="154"/>
      <c r="N4" s="154"/>
      <c r="O4" s="154"/>
      <c r="P4" s="154"/>
      <c r="Q4" s="154"/>
      <c r="R4" s="154"/>
      <c r="S4" s="154"/>
      <c r="T4" s="154"/>
      <c r="U4" s="154"/>
      <c r="V4" s="154"/>
      <c r="W4" s="154"/>
      <c r="X4" s="154"/>
      <c r="Y4" s="154"/>
      <c r="Z4" s="154"/>
      <c r="AA4" s="154"/>
      <c r="AB4" s="154"/>
      <c r="AC4" s="154"/>
      <c r="AD4" s="154"/>
      <c r="AE4" s="154"/>
      <c r="AF4" s="154"/>
      <c r="AG4" s="154"/>
      <c r="AH4" s="154"/>
      <c r="AI4" s="154"/>
      <c r="AJ4" s="154"/>
      <c r="AK4" s="154"/>
      <c r="AL4" s="154"/>
      <c r="AM4" s="154"/>
      <c r="AN4" s="154"/>
      <c r="AO4" s="154"/>
      <c r="AP4" s="154"/>
      <c r="AQ4" s="154"/>
      <c r="AR4" s="154"/>
      <c r="AS4" s="154"/>
      <c r="AT4" s="154"/>
      <c r="AU4" s="154"/>
      <c r="AV4" s="154"/>
      <c r="AW4" s="154"/>
      <c r="AX4" s="154"/>
      <c r="AY4" s="154"/>
      <c r="AZ4" s="154"/>
      <c r="BA4" s="154"/>
      <c r="BB4" s="154"/>
    </row>
    <row r="5" spans="1:54">
      <c r="A5" t="s" s="157">
        <v>1548</v>
      </c>
      <c r="B5" s="145">
        <v>4</v>
      </c>
      <c r="C5" t="s" s="114">
        <v>1269</v>
      </c>
      <c r="D5" t="s" s="38">
        <v>890</v>
      </c>
      <c r="E5" t="s" s="154">
        <v>68</v>
      </c>
      <c r="F5" t="s" s="154">
        <v>68</v>
      </c>
      <c r="G5" t="s" s="154">
        <v>68</v>
      </c>
      <c r="H5" t="s" s="154">
        <v>68</v>
      </c>
      <c r="I5" t="s" s="154">
        <v>68</v>
      </c>
      <c r="J5" t="s" s="154">
        <v>68</v>
      </c>
      <c r="K5" t="s" s="154">
        <v>68</v>
      </c>
      <c r="L5" t="s" s="154">
        <v>68</v>
      </c>
      <c r="M5" t="s" s="154">
        <v>68</v>
      </c>
      <c r="N5" t="s" s="154">
        <v>68</v>
      </c>
      <c r="O5" t="s" s="154">
        <v>68</v>
      </c>
      <c r="P5" t="s" s="154">
        <v>68</v>
      </c>
      <c r="Q5" t="s" s="154">
        <v>68</v>
      </c>
      <c r="R5" t="s" s="154">
        <v>68</v>
      </c>
      <c r="S5" t="s" s="154">
        <v>68</v>
      </c>
      <c r="T5" t="s" s="154">
        <v>68</v>
      </c>
      <c r="U5" t="s" s="154">
        <v>68</v>
      </c>
      <c r="V5" t="s" s="154">
        <v>68</v>
      </c>
      <c r="W5" t="s" s="154">
        <v>68</v>
      </c>
      <c r="X5" t="s" s="154">
        <v>68</v>
      </c>
      <c r="Y5" t="s" s="154">
        <v>68</v>
      </c>
      <c r="Z5" t="s" s="154">
        <v>68</v>
      </c>
      <c r="AA5" t="s" s="154">
        <v>68</v>
      </c>
      <c r="AB5" t="s" s="154">
        <v>68</v>
      </c>
      <c r="AC5" t="s" s="154">
        <v>68</v>
      </c>
      <c r="AD5" t="s" s="154">
        <v>68</v>
      </c>
      <c r="AE5" t="s" s="154">
        <v>68</v>
      </c>
      <c r="AF5" t="s" s="154">
        <v>68</v>
      </c>
      <c r="AG5" t="s" s="154">
        <v>68</v>
      </c>
      <c r="AH5" t="s" s="154">
        <v>68</v>
      </c>
      <c r="AI5" t="s" s="154">
        <v>68</v>
      </c>
      <c r="AJ5" t="s" s="154">
        <v>68</v>
      </c>
      <c r="AK5" t="s" s="154">
        <v>68</v>
      </c>
      <c r="AL5" t="s" s="154">
        <v>68</v>
      </c>
      <c r="AM5" t="s" s="154">
        <v>68</v>
      </c>
      <c r="AN5" t="s" s="154">
        <v>68</v>
      </c>
      <c r="AO5" t="s" s="154">
        <v>68</v>
      </c>
      <c r="AP5" t="s" s="154">
        <v>68</v>
      </c>
      <c r="AQ5" t="s" s="154">
        <v>68</v>
      </c>
      <c r="AR5" t="s" s="154">
        <v>68</v>
      </c>
      <c r="AS5" t="s" s="154">
        <v>68</v>
      </c>
      <c r="AT5" t="s" s="154">
        <v>68</v>
      </c>
      <c r="AU5" t="s" s="154">
        <v>68</v>
      </c>
      <c r="AV5" t="s" s="154">
        <v>68</v>
      </c>
      <c r="AW5" t="s" s="154">
        <v>68</v>
      </c>
      <c r="AX5" t="s" s="154">
        <v>68</v>
      </c>
      <c r="AY5" t="s" s="154">
        <v>68</v>
      </c>
      <c r="AZ5" t="s" s="154">
        <v>68</v>
      </c>
      <c r="BA5" t="s" s="154">
        <v>68</v>
      </c>
      <c r="BB5" t="s" s="154">
        <v>68</v>
      </c>
    </row>
    <row r="6" spans="1:54">
      <c r="A6" t="s" s="157">
        <v>1548</v>
      </c>
      <c r="B6" s="145">
        <v>5</v>
      </c>
      <c r="C6" t="s" s="114">
        <v>550</v>
      </c>
      <c r="D6" t="s" s="38">
        <v>1511</v>
      </c>
      <c r="E6" t="s" s="154">
        <v>68</v>
      </c>
      <c r="F6" t="s" s="154">
        <v>68</v>
      </c>
      <c r="G6" t="s" s="154">
        <v>68</v>
      </c>
      <c r="H6" t="s" s="154">
        <v>68</v>
      </c>
      <c r="I6" t="s" s="154">
        <v>68</v>
      </c>
      <c r="J6" t="s" s="154">
        <v>68</v>
      </c>
      <c r="K6" t="s" s="154">
        <v>68</v>
      </c>
      <c r="L6" t="s" s="154">
        <v>68</v>
      </c>
      <c r="M6" t="s" s="154">
        <v>68</v>
      </c>
      <c r="N6" t="s" s="154">
        <v>68</v>
      </c>
      <c r="O6" t="s" s="154">
        <v>68</v>
      </c>
      <c r="P6" t="s" s="154">
        <v>68</v>
      </c>
      <c r="Q6" t="s" s="154">
        <v>68</v>
      </c>
      <c r="R6" t="s" s="154">
        <v>68</v>
      </c>
      <c r="S6" t="s" s="154">
        <v>68</v>
      </c>
      <c r="T6" t="s" s="154">
        <v>68</v>
      </c>
      <c r="U6" t="s" s="154">
        <v>68</v>
      </c>
      <c r="V6" t="s" s="154">
        <v>68</v>
      </c>
      <c r="W6" t="s" s="154">
        <v>68</v>
      </c>
      <c r="X6" t="s" s="154">
        <v>68</v>
      </c>
      <c r="Y6" t="s" s="154">
        <v>68</v>
      </c>
      <c r="Z6" t="s" s="154">
        <v>68</v>
      </c>
      <c r="AA6" t="s" s="154">
        <v>68</v>
      </c>
      <c r="AB6" t="s" s="154">
        <v>68</v>
      </c>
      <c r="AC6" t="s" s="154">
        <v>68</v>
      </c>
      <c r="AD6" t="s" s="154">
        <v>68</v>
      </c>
      <c r="AE6" t="s" s="154">
        <v>68</v>
      </c>
      <c r="AF6" t="s" s="154">
        <v>68</v>
      </c>
      <c r="AG6" t="s" s="154">
        <v>68</v>
      </c>
      <c r="AH6" t="s" s="154">
        <v>68</v>
      </c>
      <c r="AI6" t="s" s="154">
        <v>68</v>
      </c>
      <c r="AJ6" t="s" s="154">
        <v>68</v>
      </c>
      <c r="AK6" t="s" s="154">
        <v>68</v>
      </c>
      <c r="AL6" t="s" s="154">
        <v>68</v>
      </c>
      <c r="AM6" t="s" s="154">
        <v>68</v>
      </c>
      <c r="AN6" t="s" s="154">
        <v>68</v>
      </c>
      <c r="AO6" t="s" s="154">
        <v>68</v>
      </c>
      <c r="AP6" t="s" s="154">
        <v>68</v>
      </c>
      <c r="AQ6" t="s" s="154">
        <v>68</v>
      </c>
      <c r="AR6" t="s" s="154">
        <v>68</v>
      </c>
      <c r="AS6" t="s" s="154">
        <v>68</v>
      </c>
      <c r="AT6" t="s" s="154">
        <v>68</v>
      </c>
      <c r="AU6" t="s" s="154">
        <v>68</v>
      </c>
      <c r="AV6" t="s" s="154">
        <v>68</v>
      </c>
      <c r="AW6" t="s" s="154">
        <v>68</v>
      </c>
      <c r="AX6" t="s" s="154">
        <v>68</v>
      </c>
      <c r="AY6" t="s" s="154">
        <v>68</v>
      </c>
      <c r="AZ6" t="s" s="154">
        <v>68</v>
      </c>
      <c r="BA6" t="s" s="154">
        <v>68</v>
      </c>
      <c r="BB6" t="s" s="154">
        <v>68</v>
      </c>
    </row>
    <row r="7" spans="1:54" ht="36">
      <c r="A7" t="s" s="157">
        <v>1548</v>
      </c>
      <c r="B7" s="145">
        <v>6</v>
      </c>
      <c r="C7" t="s" s="114">
        <v>848</v>
      </c>
      <c r="D7" t="s" s="219">
        <v>230</v>
      </c>
      <c r="E7" t="s" s="32">
        <v>68</v>
      </c>
      <c r="F7" t="s" s="32">
        <v>68</v>
      </c>
      <c r="G7" t="s" s="32">
        <v>68</v>
      </c>
      <c r="H7" t="s" s="32">
        <v>68</v>
      </c>
      <c r="I7" t="s" s="32">
        <v>68</v>
      </c>
      <c r="J7" t="s" s="32">
        <v>68</v>
      </c>
      <c r="K7" t="s" s="32">
        <v>68</v>
      </c>
      <c r="L7" t="s" s="32">
        <v>68</v>
      </c>
      <c r="M7" t="s" s="32">
        <v>68</v>
      </c>
      <c r="N7" t="s" s="32">
        <v>68</v>
      </c>
      <c r="O7" t="s" s="32">
        <v>68</v>
      </c>
      <c r="P7" t="s" s="32">
        <v>68</v>
      </c>
      <c r="Q7" t="s" s="32">
        <v>68</v>
      </c>
      <c r="R7" t="s" s="32">
        <v>68</v>
      </c>
      <c r="S7" t="s" s="32">
        <v>68</v>
      </c>
      <c r="T7" t="s" s="32">
        <v>68</v>
      </c>
      <c r="U7" t="s" s="32">
        <v>68</v>
      </c>
      <c r="V7" t="s" s="32">
        <v>68</v>
      </c>
      <c r="W7" t="s" s="32">
        <v>68</v>
      </c>
      <c r="X7" t="s" s="32">
        <v>68</v>
      </c>
      <c r="Y7" t="s" s="32">
        <v>68</v>
      </c>
      <c r="Z7" t="s" s="32">
        <v>68</v>
      </c>
      <c r="AA7" t="s" s="32">
        <v>68</v>
      </c>
      <c r="AB7" t="s" s="32">
        <v>68</v>
      </c>
      <c r="AC7" t="s" s="32">
        <v>68</v>
      </c>
      <c r="AD7" t="s" s="32">
        <v>68</v>
      </c>
      <c r="AE7" t="s" s="32">
        <v>68</v>
      </c>
      <c r="AF7" t="s" s="32">
        <v>68</v>
      </c>
      <c r="AG7" t="s" s="32">
        <v>68</v>
      </c>
      <c r="AH7" t="s" s="32">
        <v>68</v>
      </c>
      <c r="AI7" t="s" s="32">
        <v>68</v>
      </c>
      <c r="AJ7" t="s" s="32">
        <v>68</v>
      </c>
      <c r="AK7" t="s" s="32">
        <v>68</v>
      </c>
      <c r="AL7" t="s" s="32">
        <v>68</v>
      </c>
      <c r="AM7" t="s" s="32">
        <v>68</v>
      </c>
      <c r="AN7" t="s" s="32">
        <v>68</v>
      </c>
      <c r="AO7" t="s" s="32">
        <v>68</v>
      </c>
      <c r="AP7" t="s" s="32">
        <v>68</v>
      </c>
      <c r="AQ7" t="s" s="32">
        <v>68</v>
      </c>
      <c r="AR7" t="s" s="32">
        <v>68</v>
      </c>
      <c r="AS7" t="s" s="32">
        <v>68</v>
      </c>
      <c r="AT7" t="s" s="32">
        <v>68</v>
      </c>
      <c r="AU7" t="s" s="32">
        <v>68</v>
      </c>
      <c r="AV7" t="s" s="32">
        <v>68</v>
      </c>
      <c r="AW7" t="s" s="32">
        <v>68</v>
      </c>
      <c r="AX7" t="s" s="32">
        <v>68</v>
      </c>
      <c r="AY7" t="s" s="32">
        <v>68</v>
      </c>
      <c r="AZ7" t="s" s="32">
        <v>68</v>
      </c>
      <c r="BA7" t="s" s="32">
        <v>68</v>
      </c>
      <c r="BB7" t="s" s="32">
        <v>68</v>
      </c>
    </row>
    <row r="8" spans="1:54">
      <c r="B8" s="145">
        <v>7</v>
      </c>
      <c r="C8" t="s" s="114">
        <v>1367</v>
      </c>
      <c r="D8" t="s" s="38">
        <v>1006</v>
      </c>
      <c r="E8" t="s" s="32">
        <v>68</v>
      </c>
      <c r="F8" t="s" s="32">
        <v>68</v>
      </c>
      <c r="G8" t="s" s="32">
        <v>68</v>
      </c>
      <c r="H8" t="s" s="32">
        <v>68</v>
      </c>
      <c r="I8" t="s" s="32">
        <v>68</v>
      </c>
      <c r="J8" t="s" s="32">
        <v>68</v>
      </c>
      <c r="K8" t="s" s="32">
        <v>68</v>
      </c>
      <c r="L8" t="s" s="32">
        <v>68</v>
      </c>
      <c r="M8" t="s" s="32">
        <v>68</v>
      </c>
      <c r="N8" t="s" s="32">
        <v>68</v>
      </c>
      <c r="O8" t="s" s="32">
        <v>68</v>
      </c>
      <c r="P8" t="s" s="32">
        <v>68</v>
      </c>
      <c r="Q8" t="s" s="32">
        <v>68</v>
      </c>
      <c r="R8" t="s" s="32">
        <v>68</v>
      </c>
      <c r="S8" t="s" s="32">
        <v>68</v>
      </c>
      <c r="T8" t="s" s="32">
        <v>68</v>
      </c>
      <c r="U8" t="s" s="32">
        <v>68</v>
      </c>
      <c r="V8" t="s" s="32">
        <v>68</v>
      </c>
      <c r="W8" t="s" s="32">
        <v>68</v>
      </c>
      <c r="X8" t="s" s="32">
        <v>68</v>
      </c>
      <c r="Y8" t="s" s="32">
        <v>68</v>
      </c>
      <c r="Z8" t="s" s="32">
        <v>68</v>
      </c>
      <c r="AA8" t="s" s="32">
        <v>68</v>
      </c>
      <c r="AB8" t="s" s="32">
        <v>68</v>
      </c>
      <c r="AC8" t="s" s="32">
        <v>68</v>
      </c>
      <c r="AD8" t="s" s="32">
        <v>68</v>
      </c>
      <c r="AE8" t="s" s="32">
        <v>68</v>
      </c>
      <c r="AF8" t="s" s="32">
        <v>68</v>
      </c>
      <c r="AG8" t="s" s="32">
        <v>68</v>
      </c>
      <c r="AH8" t="s" s="32">
        <v>68</v>
      </c>
      <c r="AI8" t="s" s="32">
        <v>68</v>
      </c>
      <c r="AJ8" t="s" s="32">
        <v>68</v>
      </c>
      <c r="AK8" t="s" s="32">
        <v>68</v>
      </c>
      <c r="AL8" t="s" s="32">
        <v>68</v>
      </c>
      <c r="AM8" t="s" s="32">
        <v>68</v>
      </c>
      <c r="AN8" t="s" s="32">
        <v>68</v>
      </c>
      <c r="AO8" t="s" s="32">
        <v>68</v>
      </c>
      <c r="AP8" t="s" s="32">
        <v>68</v>
      </c>
      <c r="AQ8" t="s" s="32">
        <v>68</v>
      </c>
      <c r="AR8" t="s" s="32">
        <v>68</v>
      </c>
      <c r="AS8" t="s" s="32">
        <v>68</v>
      </c>
      <c r="AT8" t="s" s="32">
        <v>68</v>
      </c>
      <c r="AU8" t="s" s="32">
        <v>68</v>
      </c>
      <c r="AV8" t="s" s="32">
        <v>68</v>
      </c>
      <c r="AW8" t="s" s="32">
        <v>68</v>
      </c>
      <c r="AX8" t="s" s="32">
        <v>68</v>
      </c>
      <c r="AY8" t="s" s="32">
        <v>68</v>
      </c>
      <c r="AZ8" t="s" s="32">
        <v>68</v>
      </c>
      <c r="BA8" t="s" s="32">
        <v>68</v>
      </c>
      <c r="BB8" t="s" s="32">
        <v>68</v>
      </c>
    </row>
    <row r="9" spans="1:54" ht="24">
      <c r="B9" s="145">
        <v>8</v>
      </c>
      <c r="C9" t="s" s="114">
        <v>675</v>
      </c>
      <c r="D9" t="s" s="38">
        <v>1755</v>
      </c>
      <c r="E9" t="s" s="32">
        <v>68</v>
      </c>
      <c r="F9" t="s" s="32">
        <v>68</v>
      </c>
      <c r="G9" t="s" s="32">
        <v>68</v>
      </c>
      <c r="H9" t="s" s="32">
        <v>68</v>
      </c>
      <c r="I9" t="s" s="32">
        <v>68</v>
      </c>
      <c r="J9" t="s" s="32">
        <v>68</v>
      </c>
      <c r="K9" t="s" s="32">
        <v>68</v>
      </c>
      <c r="L9" t="s" s="32">
        <v>68</v>
      </c>
      <c r="M9" t="s" s="32">
        <v>68</v>
      </c>
      <c r="N9" t="s" s="32">
        <v>68</v>
      </c>
      <c r="O9" t="s" s="32">
        <v>68</v>
      </c>
      <c r="P9" t="s" s="32">
        <v>68</v>
      </c>
      <c r="Q9" t="s" s="32">
        <v>68</v>
      </c>
      <c r="R9" t="s" s="32">
        <v>68</v>
      </c>
      <c r="S9" t="s" s="32">
        <v>68</v>
      </c>
      <c r="T9" t="s" s="32">
        <v>68</v>
      </c>
      <c r="U9" t="s" s="32">
        <v>68</v>
      </c>
      <c r="V9" t="s" s="32">
        <v>68</v>
      </c>
      <c r="W9" t="s" s="32">
        <v>68</v>
      </c>
      <c r="X9" t="s" s="32">
        <v>68</v>
      </c>
      <c r="Y9" t="s" s="32">
        <v>68</v>
      </c>
      <c r="Z9" t="s" s="32">
        <v>68</v>
      </c>
      <c r="AA9" t="s" s="32">
        <v>68</v>
      </c>
      <c r="AB9" t="s" s="32">
        <v>68</v>
      </c>
      <c r="AC9" t="s" s="32">
        <v>68</v>
      </c>
      <c r="AD9" t="s" s="32">
        <v>68</v>
      </c>
      <c r="AE9" t="s" s="32">
        <v>68</v>
      </c>
      <c r="AF9" t="s" s="32">
        <v>68</v>
      </c>
      <c r="AG9" t="s" s="32">
        <v>68</v>
      </c>
      <c r="AH9" t="s" s="32">
        <v>68</v>
      </c>
      <c r="AI9" t="s" s="32">
        <v>68</v>
      </c>
      <c r="AJ9" t="s" s="32">
        <v>68</v>
      </c>
      <c r="AK9" t="s" s="32">
        <v>68</v>
      </c>
      <c r="AL9" t="s" s="32">
        <v>68</v>
      </c>
      <c r="AM9" t="s" s="32">
        <v>68</v>
      </c>
      <c r="AN9" t="s" s="32">
        <v>68</v>
      </c>
      <c r="AO9" t="s" s="32">
        <v>68</v>
      </c>
      <c r="AP9" t="s" s="32">
        <v>68</v>
      </c>
      <c r="AQ9" t="s" s="32">
        <v>68</v>
      </c>
      <c r="AR9" t="s" s="32">
        <v>68</v>
      </c>
      <c r="AS9" t="s" s="32">
        <v>68</v>
      </c>
      <c r="AT9" t="s" s="32">
        <v>68</v>
      </c>
      <c r="AU9" t="s" s="32">
        <v>68</v>
      </c>
      <c r="AV9" t="s" s="32">
        <v>68</v>
      </c>
      <c r="AW9" t="s" s="32">
        <v>68</v>
      </c>
      <c r="AX9" t="s" s="32">
        <v>68</v>
      </c>
      <c r="AY9" t="s" s="32">
        <v>68</v>
      </c>
      <c r="AZ9" t="s" s="32">
        <v>68</v>
      </c>
      <c r="BA9" t="s" s="32">
        <v>68</v>
      </c>
      <c r="BB9" t="s" s="32">
        <v>68</v>
      </c>
    </row>
    <row r="10" spans="1:54" ht="60">
      <c r="B10" s="145">
        <v>9</v>
      </c>
      <c r="C10" t="s" s="114">
        <v>1215</v>
      </c>
      <c r="D10" t="s" s="38">
        <v>1940</v>
      </c>
      <c r="E10" t="s" s="32">
        <v>68</v>
      </c>
      <c r="F10" t="s" s="32">
        <v>68</v>
      </c>
      <c r="G10" t="s" s="32">
        <v>68</v>
      </c>
      <c r="H10" t="s" s="32">
        <v>68</v>
      </c>
      <c r="I10" t="s" s="32">
        <v>68</v>
      </c>
      <c r="J10" t="s" s="32">
        <v>68</v>
      </c>
      <c r="K10" t="s" s="32">
        <v>68</v>
      </c>
      <c r="L10" t="s" s="32">
        <v>68</v>
      </c>
      <c r="M10" t="s" s="32">
        <v>68</v>
      </c>
      <c r="N10" t="s" s="32">
        <v>68</v>
      </c>
      <c r="O10" t="s" s="32">
        <v>68</v>
      </c>
      <c r="P10" t="s" s="32">
        <v>68</v>
      </c>
      <c r="Q10" t="s" s="32">
        <v>68</v>
      </c>
      <c r="R10" t="s" s="32">
        <v>68</v>
      </c>
      <c r="S10" t="s" s="32">
        <v>68</v>
      </c>
      <c r="T10" t="s" s="32">
        <v>68</v>
      </c>
      <c r="U10" t="s" s="32">
        <v>68</v>
      </c>
      <c r="V10" t="s" s="32">
        <v>68</v>
      </c>
      <c r="W10" t="s" s="32">
        <v>68</v>
      </c>
      <c r="X10" t="s" s="32">
        <v>68</v>
      </c>
      <c r="Y10" t="s" s="32">
        <v>68</v>
      </c>
      <c r="Z10" t="s" s="32">
        <v>68</v>
      </c>
      <c r="AA10" t="s" s="32">
        <v>68</v>
      </c>
      <c r="AB10" t="s" s="32">
        <v>68</v>
      </c>
      <c r="AC10" t="s" s="32">
        <v>68</v>
      </c>
      <c r="AD10" t="s" s="32">
        <v>68</v>
      </c>
      <c r="AE10" t="s" s="32">
        <v>68</v>
      </c>
      <c r="AF10" t="s" s="32">
        <v>68</v>
      </c>
      <c r="AG10" t="s" s="32">
        <v>68</v>
      </c>
      <c r="AH10" t="s" s="32">
        <v>68</v>
      </c>
      <c r="AI10" t="s" s="32">
        <v>68</v>
      </c>
      <c r="AJ10" t="s" s="32">
        <v>68</v>
      </c>
      <c r="AK10" t="s" s="32">
        <v>68</v>
      </c>
      <c r="AL10" t="s" s="32">
        <v>68</v>
      </c>
      <c r="AM10" t="s" s="32">
        <v>68</v>
      </c>
      <c r="AN10" t="s" s="32">
        <v>68</v>
      </c>
      <c r="AO10" t="s" s="32">
        <v>68</v>
      </c>
      <c r="AP10" t="s" s="32">
        <v>68</v>
      </c>
      <c r="AQ10" t="s" s="32">
        <v>68</v>
      </c>
      <c r="AR10" t="s" s="32">
        <v>68</v>
      </c>
      <c r="AS10" t="s" s="32">
        <v>68</v>
      </c>
      <c r="AT10" t="s" s="32">
        <v>68</v>
      </c>
      <c r="AU10" t="s" s="32">
        <v>68</v>
      </c>
      <c r="AV10" t="s" s="32">
        <v>68</v>
      </c>
      <c r="AW10" t="s" s="32">
        <v>68</v>
      </c>
      <c r="AX10" t="s" s="32">
        <v>68</v>
      </c>
      <c r="AY10" t="s" s="32">
        <v>68</v>
      </c>
      <c r="AZ10" t="s" s="32">
        <v>68</v>
      </c>
      <c r="BA10" t="s" s="32">
        <v>68</v>
      </c>
      <c r="BB10" t="s" s="32">
        <v>68</v>
      </c>
    </row>
    <row r="11" spans="1:54" ht="36">
      <c r="A11" t="s" s="157">
        <v>1833</v>
      </c>
      <c r="B11" s="145">
        <v>10</v>
      </c>
      <c r="C11" t="s" s="114">
        <v>1399</v>
      </c>
      <c r="D11" t="s" s="38">
        <v>642</v>
      </c>
      <c r="E11" s="32"/>
      <c r="F11" s="32"/>
      <c r="G11" s="32"/>
      <c r="H11" s="32"/>
      <c r="I11" s="32"/>
      <c r="J11" s="32"/>
      <c r="K11" s="32"/>
      <c r="L11" s="32"/>
      <c r="M11" s="32"/>
      <c r="N11" s="32"/>
      <c r="O11" s="32"/>
      <c r="P11" s="32"/>
      <c r="Q11" s="32"/>
      <c r="R11" s="32"/>
      <c r="S11" s="32"/>
      <c r="T11" s="32"/>
      <c r="U11" s="32"/>
      <c r="V11" s="32"/>
      <c r="W11" s="32"/>
      <c r="X11" s="32"/>
      <c r="Y11" s="32"/>
      <c r="Z11" s="32"/>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row>
    <row r="12" spans="1:54" ht="36">
      <c r="A12" t="s" s="157">
        <v>1833</v>
      </c>
      <c r="B12" s="145">
        <v>11</v>
      </c>
      <c r="C12" t="s" s="114">
        <v>1188</v>
      </c>
      <c r="D12" t="s" s="38">
        <v>395</v>
      </c>
      <c r="E12" s="32"/>
      <c r="F12" s="32"/>
      <c r="G12" s="32"/>
      <c r="H12" s="32"/>
      <c r="I12" s="32"/>
      <c r="J12" s="32"/>
      <c r="K12" s="32"/>
      <c r="L12" s="32"/>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c r="BA12" s="32"/>
      <c r="BB12" s="32"/>
    </row>
    <row r="13" spans="1:54" ht="24">
      <c r="A13" t="s" s="157">
        <v>1833</v>
      </c>
      <c r="B13" s="145">
        <v>12</v>
      </c>
      <c r="C13" t="s" s="114">
        <v>1072</v>
      </c>
      <c r="D13" t="s" s="38">
        <v>313</v>
      </c>
      <c r="E13" s="32"/>
      <c r="F13" s="32"/>
      <c r="G13" s="32"/>
      <c r="H13" s="32"/>
      <c r="I13" s="32"/>
      <c r="J13" s="32"/>
      <c r="K13" s="32"/>
      <c r="L13" s="32"/>
      <c r="M13" s="32"/>
      <c r="N13" s="32"/>
      <c r="O13" s="32"/>
      <c r="P13" s="32"/>
      <c r="Q13" s="32"/>
      <c r="R13" s="32"/>
      <c r="S13" s="32"/>
      <c r="T13" s="32"/>
      <c r="U13" s="32"/>
      <c r="V13" s="32"/>
      <c r="W13" s="32"/>
      <c r="X13" s="32"/>
      <c r="Y13" s="32"/>
      <c r="Z13" s="32"/>
      <c r="AA13" s="32"/>
      <c r="AB13" s="32"/>
      <c r="AC13" s="32"/>
      <c r="AD13" s="32"/>
      <c r="AE13" s="32"/>
      <c r="AF13" s="32"/>
      <c r="AG13" s="32"/>
      <c r="AH13" s="32"/>
      <c r="AI13" s="32"/>
      <c r="AJ13" s="32"/>
      <c r="AK13" s="32"/>
      <c r="AL13" s="32"/>
      <c r="AM13" s="32"/>
      <c r="AN13" s="32"/>
      <c r="AO13" s="32"/>
      <c r="AP13" s="32"/>
      <c r="AQ13" s="32"/>
      <c r="AR13" s="32"/>
      <c r="AS13" s="32"/>
      <c r="AT13" s="32"/>
      <c r="AU13" s="32"/>
      <c r="AV13" s="32"/>
      <c r="AW13" s="32"/>
      <c r="AX13" s="32"/>
      <c r="AY13" s="32"/>
      <c r="AZ13" s="32"/>
      <c r="BA13" s="32"/>
      <c r="BB13" s="32"/>
    </row>
    <row r="14" spans="1:54" ht="36">
      <c r="A14" t="s" s="157">
        <v>1833</v>
      </c>
      <c r="B14" s="145">
        <v>13</v>
      </c>
      <c r="C14" t="s" s="114">
        <v>744</v>
      </c>
      <c r="D14" t="s" s="38">
        <v>1925</v>
      </c>
      <c r="E14" s="32"/>
      <c r="F14" s="32"/>
      <c r="G14" s="32"/>
      <c r="H14" s="32"/>
      <c r="I14" s="32"/>
      <c r="J14" s="32"/>
      <c r="K14" s="32"/>
      <c r="L14" s="32"/>
      <c r="M14" s="32"/>
      <c r="N14" s="32"/>
      <c r="O14" s="32"/>
      <c r="P14" s="32"/>
      <c r="Q14" s="32"/>
      <c r="R14" s="32"/>
      <c r="S14" s="32"/>
      <c r="T14" s="32"/>
      <c r="U14" s="32"/>
      <c r="V14" s="32"/>
      <c r="W14" s="32"/>
      <c r="X14" s="32"/>
      <c r="Y14" s="32"/>
      <c r="Z14" s="32"/>
      <c r="AA14" s="32"/>
      <c r="AB14" s="32"/>
      <c r="AC14" s="32"/>
      <c r="AD14" s="32"/>
      <c r="AE14" s="32"/>
      <c r="AF14" s="32"/>
      <c r="AG14" s="32"/>
      <c r="AH14" s="32"/>
      <c r="AI14" s="32"/>
      <c r="AJ14" s="32"/>
      <c r="AK14" s="32"/>
      <c r="AL14" s="32"/>
      <c r="AM14" s="32"/>
      <c r="AN14" s="32"/>
      <c r="AO14" s="32"/>
      <c r="AP14" s="32"/>
      <c r="AQ14" s="32"/>
      <c r="AR14" s="32"/>
      <c r="AS14" s="32"/>
      <c r="AT14" s="32"/>
      <c r="AU14" s="32"/>
      <c r="AV14" s="32"/>
      <c r="AW14" s="32"/>
      <c r="AX14" s="32"/>
      <c r="AY14" s="32"/>
      <c r="AZ14" s="32"/>
      <c r="BA14" s="32"/>
      <c r="BB14" s="32"/>
    </row>
    <row r="15" spans="1:54" ht="24">
      <c r="A15" t="s" s="157">
        <v>1833</v>
      </c>
      <c r="B15" s="145">
        <v>14</v>
      </c>
      <c r="C15" t="s" s="114">
        <v>565</v>
      </c>
      <c r="D15" t="s" s="38">
        <v>1926</v>
      </c>
      <c r="E15" s="32"/>
      <c r="F15" s="32"/>
      <c r="G15" s="32"/>
      <c r="H15" s="32"/>
      <c r="I15" s="32"/>
      <c r="J15" s="32"/>
      <c r="K15" s="32"/>
      <c r="L15" s="32"/>
      <c r="M15" s="32"/>
      <c r="N15" s="32"/>
      <c r="O15" s="32"/>
      <c r="P15" s="32"/>
      <c r="Q15" s="32"/>
      <c r="R15" s="32"/>
      <c r="S15" s="32"/>
      <c r="T15" s="32"/>
      <c r="U15" s="32"/>
      <c r="V15" s="32"/>
      <c r="W15" s="32"/>
      <c r="X15" s="32"/>
      <c r="Y15" s="32"/>
      <c r="Z15" s="32"/>
      <c r="AA15" s="32"/>
      <c r="AB15" s="32"/>
      <c r="AC15" s="32"/>
      <c r="AD15" s="32"/>
      <c r="AE15" s="32"/>
      <c r="AF15" s="32"/>
      <c r="AG15" s="32"/>
      <c r="AH15" s="32"/>
      <c r="AI15" s="32"/>
      <c r="AJ15" s="32"/>
      <c r="AK15" s="32"/>
      <c r="AL15" s="32"/>
      <c r="AM15" s="32"/>
      <c r="AN15" s="32"/>
      <c r="AO15" s="32"/>
      <c r="AP15" s="32"/>
      <c r="AQ15" s="32"/>
      <c r="AR15" s="32"/>
      <c r="AS15" s="32"/>
      <c r="AT15" s="32"/>
      <c r="AU15" s="32"/>
      <c r="AV15" s="32"/>
      <c r="AW15" s="32"/>
      <c r="AX15" s="32"/>
      <c r="AY15" s="32"/>
      <c r="AZ15" s="32"/>
      <c r="BA15" s="32"/>
      <c r="BB15" s="32"/>
    </row>
    <row r="16" spans="1:54">
      <c r="A16" t="s" s="157">
        <v>1833</v>
      </c>
      <c r="B16" s="145">
        <v>15</v>
      </c>
      <c r="C16" t="s" s="114">
        <v>612</v>
      </c>
      <c r="D16" t="s" s="38">
        <v>1928</v>
      </c>
      <c r="E16" s="32"/>
      <c r="F16" s="32"/>
      <c r="G16" s="32"/>
      <c r="H16" s="32"/>
      <c r="I16" s="32"/>
      <c r="J16" s="32"/>
      <c r="K16" s="32"/>
      <c r="L16" s="32"/>
      <c r="M16" s="32"/>
      <c r="N16" s="32"/>
      <c r="O16" s="32"/>
      <c r="P16" s="32"/>
      <c r="Q16" s="32"/>
      <c r="R16" s="32"/>
      <c r="S16" s="32"/>
      <c r="T16" s="32"/>
      <c r="U16" s="32"/>
      <c r="V16" s="32"/>
      <c r="W16" s="32"/>
      <c r="X16" s="32"/>
      <c r="Y16" s="32"/>
      <c r="Z16" s="32"/>
      <c r="AA16" s="32"/>
      <c r="AB16" s="32"/>
      <c r="AC16" s="32"/>
      <c r="AD16" s="32"/>
      <c r="AE16" s="32"/>
      <c r="AF16" s="32"/>
      <c r="AG16" s="32"/>
      <c r="AH16" s="32"/>
      <c r="AI16" s="32"/>
      <c r="AJ16" s="32"/>
      <c r="AK16" s="32"/>
      <c r="AL16" s="32"/>
      <c r="AM16" s="32"/>
      <c r="AN16" s="32"/>
      <c r="AO16" s="32"/>
      <c r="AP16" s="32"/>
      <c r="AQ16" s="32"/>
      <c r="AR16" s="32"/>
      <c r="AS16" s="32"/>
      <c r="AT16" s="32"/>
      <c r="AU16" s="32"/>
      <c r="AV16" s="32"/>
      <c r="AW16" s="32"/>
      <c r="AX16" s="32"/>
      <c r="AY16" s="32"/>
      <c r="AZ16" s="32"/>
      <c r="BA16" s="32"/>
      <c r="BB16" s="32"/>
    </row>
    <row r="17" spans="1:54">
      <c r="A17" t="s" s="157">
        <v>1833</v>
      </c>
      <c r="B17" s="145">
        <v>16</v>
      </c>
      <c r="C17" t="s" s="114">
        <v>743</v>
      </c>
      <c r="D17" t="s" s="38">
        <v>1211</v>
      </c>
      <c r="E17" s="32"/>
      <c r="F17" s="32"/>
      <c r="G17" s="32"/>
      <c r="H17" s="32"/>
      <c r="I17" s="32"/>
      <c r="J17" s="32"/>
      <c r="K17" s="32"/>
      <c r="L17" s="32"/>
      <c r="M17" s="32"/>
      <c r="N17" s="32"/>
      <c r="O17" s="32"/>
      <c r="P17" s="32"/>
      <c r="Q17" s="32"/>
      <c r="R17" s="32"/>
      <c r="S17" s="32"/>
      <c r="T17" s="32"/>
      <c r="U17" s="32"/>
      <c r="V17" s="32"/>
      <c r="W17" s="32"/>
      <c r="X17" s="32"/>
      <c r="Y17" s="32"/>
      <c r="Z17" s="32"/>
      <c r="AA17" s="32"/>
      <c r="AB17" s="32"/>
      <c r="AC17" s="32"/>
      <c r="AD17" s="32"/>
      <c r="AE17" s="32"/>
      <c r="AF17" s="32"/>
      <c r="AG17" s="32"/>
      <c r="AH17" s="32"/>
      <c r="AI17" s="32"/>
      <c r="AJ17" s="32"/>
      <c r="AK17" s="32"/>
      <c r="AL17" s="32"/>
      <c r="AM17" s="32"/>
      <c r="AN17" s="32"/>
      <c r="AO17" s="32"/>
      <c r="AP17" s="32"/>
      <c r="AQ17" s="32"/>
      <c r="AR17" s="32"/>
      <c r="AS17" s="32"/>
      <c r="AT17" s="32"/>
      <c r="AU17" s="32"/>
      <c r="AV17" s="32"/>
      <c r="AW17" s="32"/>
      <c r="AX17" s="32"/>
      <c r="AY17" s="32"/>
      <c r="AZ17" s="32"/>
      <c r="BA17" s="32"/>
      <c r="BB17" s="32"/>
    </row>
    <row r="18" spans="1:54" ht="72">
      <c r="A18" t="s" s="157">
        <v>1833</v>
      </c>
      <c r="B18" s="145">
        <v>17</v>
      </c>
      <c r="C18" t="s" s="114">
        <v>264</v>
      </c>
      <c r="D18" t="s" s="38">
        <v>1931</v>
      </c>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4"/>
      <c r="AC18" s="154"/>
      <c r="AD18" s="154"/>
      <c r="AE18" s="154"/>
      <c r="AF18" s="154"/>
      <c r="AG18" s="154"/>
      <c r="AH18" s="154"/>
      <c r="AI18" s="154"/>
      <c r="AJ18" s="154"/>
      <c r="AK18" s="154"/>
      <c r="AL18" s="154"/>
      <c r="AM18" s="154"/>
      <c r="AN18" s="154"/>
      <c r="AO18" s="154"/>
      <c r="AP18" s="154"/>
      <c r="AQ18" s="154"/>
      <c r="AR18" s="154"/>
      <c r="AS18" s="154"/>
      <c r="AT18" s="154"/>
      <c r="AU18" s="154"/>
      <c r="AV18" s="154"/>
      <c r="AW18" s="154"/>
      <c r="AX18" s="154"/>
      <c r="AY18" s="154"/>
      <c r="AZ18" s="154"/>
      <c r="BA18" s="154"/>
      <c r="BB18" s="154"/>
    </row>
    <row r="19" spans="1:54" ht="36">
      <c r="A19" t="s" s="157">
        <v>1833</v>
      </c>
      <c r="B19" s="145">
        <v>18</v>
      </c>
      <c r="C19" t="s" s="114">
        <v>144</v>
      </c>
      <c r="D19" t="s" s="38">
        <v>1615</v>
      </c>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row>
    <row r="20" spans="1:54" ht="36">
      <c r="A20" t="s" s="157">
        <v>1833</v>
      </c>
      <c r="B20" s="145">
        <v>19</v>
      </c>
      <c r="C20" t="s" s="114">
        <v>957</v>
      </c>
      <c r="D20" t="s" s="38">
        <v>1933</v>
      </c>
      <c r="E20" s="125"/>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row>
    <row r="21" spans="1:54" ht="24">
      <c r="A21" t="s" s="157">
        <v>1833</v>
      </c>
      <c r="B21" s="145">
        <v>20</v>
      </c>
      <c r="C21" t="s" s="114">
        <v>252</v>
      </c>
      <c r="D21" t="s" s="38">
        <v>1569</v>
      </c>
      <c r="E21" s="1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row>
    <row r="22" spans="1:54" ht="24">
      <c r="A22" t="s" s="157">
        <v>1833</v>
      </c>
      <c r="B22" s="145">
        <v>21</v>
      </c>
      <c r="C22" t="s" s="114">
        <v>1435</v>
      </c>
      <c r="D22" t="s" s="38">
        <v>680</v>
      </c>
      <c r="E22" s="125"/>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row>
    <row r="23" spans="1:54" ht="24">
      <c r="A23" t="s" s="157">
        <v>1833</v>
      </c>
      <c r="B23" s="145">
        <v>22</v>
      </c>
      <c r="C23" t="s" s="114">
        <v>1493</v>
      </c>
      <c r="D23" t="s" s="38">
        <v>14</v>
      </c>
      <c r="E23" s="125"/>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row>
    <row r="24" spans="1:54" ht="24">
      <c r="A24" t="s" s="157">
        <v>1833</v>
      </c>
      <c r="B24" s="145">
        <v>23</v>
      </c>
      <c r="C24" t="s" s="114">
        <v>1352</v>
      </c>
      <c r="D24" t="s" s="38">
        <v>958</v>
      </c>
      <c r="E24" s="125"/>
      <c r="F24" s="125"/>
      <c r="G24" s="125"/>
      <c r="H24" s="125"/>
      <c r="I24" s="125"/>
      <c r="J24" s="125"/>
      <c r="K24" s="125"/>
      <c r="L24" s="125"/>
      <c r="M24" s="125"/>
      <c r="N24" s="125"/>
      <c r="O24" s="125"/>
      <c r="P24" s="125"/>
      <c r="Q24" s="125"/>
      <c r="R24" s="125"/>
      <c r="S24" s="125"/>
      <c r="T24" s="125"/>
      <c r="U24" s="125"/>
      <c r="V24" s="125"/>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row>
    <row r="25" spans="1:54" ht="24">
      <c r="A25" t="s" s="157">
        <v>1833</v>
      </c>
      <c r="B25" s="145">
        <v>24</v>
      </c>
      <c r="C25" t="s" s="114">
        <v>232</v>
      </c>
      <c r="D25" t="s" s="38">
        <v>610</v>
      </c>
      <c r="E25" s="125"/>
      <c r="F25" s="125"/>
      <c r="G25" s="125"/>
      <c r="H25" s="125"/>
      <c r="I25" s="125"/>
      <c r="J25" s="125"/>
      <c r="K25" s="125"/>
      <c r="L25" s="125"/>
      <c r="M25" s="125"/>
      <c r="N25" s="125"/>
      <c r="O25" s="125"/>
      <c r="P25" s="125"/>
      <c r="Q25" s="125"/>
      <c r="R25" s="125"/>
      <c r="S25" s="125"/>
      <c r="T25" s="125"/>
      <c r="U25" s="125"/>
      <c r="V25" s="125"/>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row>
    <row r="26" spans="1:54" ht="60">
      <c r="A26" t="s" s="157">
        <v>1833</v>
      </c>
      <c r="B26" s="145">
        <v>25</v>
      </c>
      <c r="C26" t="s" s="114">
        <v>36</v>
      </c>
      <c r="D26" t="s" s="38">
        <v>452</v>
      </c>
      <c r="E26" s="125"/>
      <c r="F26" s="125"/>
      <c r="G26" s="125"/>
      <c r="H26" s="125"/>
      <c r="I26" s="125"/>
      <c r="J26" s="125"/>
      <c r="K26" s="125"/>
      <c r="L26" s="125"/>
      <c r="M26" s="125"/>
      <c r="N26" s="125"/>
      <c r="O26" s="125"/>
      <c r="P26" s="125"/>
      <c r="Q26" s="125"/>
      <c r="R26" s="125"/>
      <c r="S26" s="125"/>
      <c r="T26" s="125"/>
      <c r="U26" s="125"/>
      <c r="V26" s="125"/>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row>
    <row r="27" spans="1:54" ht="60">
      <c r="A27" t="s" s="157">
        <v>1833</v>
      </c>
      <c r="B27" s="145">
        <v>26</v>
      </c>
      <c r="C27" t="s" s="114">
        <v>838</v>
      </c>
      <c r="D27" t="s" s="38">
        <v>764</v>
      </c>
      <c r="E27" s="125"/>
      <c r="F27" s="125"/>
      <c r="G27" s="125"/>
      <c r="H27" s="125"/>
      <c r="I27" s="125"/>
      <c r="J27" s="125"/>
      <c r="K27" s="125"/>
      <c r="L27" s="125"/>
      <c r="M27" s="125"/>
      <c r="N27" s="125"/>
      <c r="O27" s="125"/>
      <c r="P27" s="125"/>
      <c r="Q27" s="125"/>
      <c r="R27" s="125"/>
      <c r="S27" s="125"/>
      <c r="T27" s="125"/>
      <c r="U27" s="125"/>
      <c r="V27" s="125"/>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row>
    <row r="28" spans="1:54" ht="60">
      <c r="A28" t="s" s="157">
        <v>1833</v>
      </c>
      <c r="B28" s="145">
        <v>27</v>
      </c>
      <c r="C28" t="s" s="114">
        <v>436</v>
      </c>
      <c r="D28" t="s" s="38">
        <v>257</v>
      </c>
      <c r="E28" s="125"/>
      <c r="F28" s="125"/>
      <c r="G28" s="125"/>
      <c r="H28" s="125"/>
      <c r="I28" s="125"/>
      <c r="J28" s="125"/>
      <c r="K28" s="125"/>
      <c r="L28" s="125"/>
      <c r="M28" s="125"/>
      <c r="N28" s="125"/>
      <c r="O28" s="125"/>
      <c r="P28" s="125"/>
      <c r="Q28" s="125"/>
      <c r="R28" s="125"/>
      <c r="S28" s="125"/>
      <c r="T28" s="125"/>
      <c r="U28" s="125"/>
      <c r="V28" s="125"/>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row>
    <row r="29" spans="1:54" ht="24">
      <c r="A29" t="s" s="157">
        <v>1833</v>
      </c>
      <c r="B29" s="145">
        <v>28</v>
      </c>
      <c r="C29" t="s" s="114">
        <v>1520</v>
      </c>
      <c r="D29" t="s" s="38">
        <v>1256</v>
      </c>
      <c r="E29" s="125"/>
      <c r="F29" s="125"/>
      <c r="G29" s="125"/>
      <c r="H29" s="125"/>
      <c r="I29" s="125"/>
      <c r="J29" s="125"/>
      <c r="K29" s="125"/>
      <c r="L29" s="125"/>
      <c r="M29" s="125"/>
      <c r="N29" s="125"/>
      <c r="O29" s="125"/>
      <c r="P29" s="125"/>
      <c r="Q29" s="125"/>
      <c r="R29" s="125"/>
      <c r="S29" s="125"/>
      <c r="T29" s="125"/>
      <c r="U29" s="125"/>
      <c r="V29" s="125"/>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row>
    <row r="30" spans="1:54" ht="24">
      <c r="A30" t="s" s="157">
        <v>1833</v>
      </c>
      <c r="B30" s="145">
        <v>29</v>
      </c>
      <c r="C30" t="s" s="114">
        <v>169</v>
      </c>
      <c r="D30" t="s" s="38">
        <v>44</v>
      </c>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4"/>
      <c r="AC30" s="154"/>
      <c r="AD30" s="154"/>
      <c r="AE30" s="154"/>
      <c r="AF30" s="154"/>
      <c r="AG30" s="154"/>
      <c r="AH30" s="154"/>
      <c r="AI30" s="154"/>
      <c r="AJ30" s="154"/>
      <c r="AK30" s="154"/>
      <c r="AL30" s="154"/>
      <c r="AM30" s="154"/>
      <c r="AN30" s="154"/>
      <c r="AO30" s="154"/>
      <c r="AP30" s="154"/>
      <c r="AQ30" s="154"/>
      <c r="AR30" s="154"/>
      <c r="AS30" s="154"/>
      <c r="AT30" s="154"/>
      <c r="AU30" s="154"/>
      <c r="AV30" s="154"/>
      <c r="AW30" s="154"/>
      <c r="AX30" s="154"/>
      <c r="AY30" s="154"/>
      <c r="AZ30" s="154"/>
      <c r="BA30" s="154"/>
      <c r="BB30" s="154"/>
    </row>
    <row r="31" spans="1:54" ht="24">
      <c r="A31" t="s" s="157">
        <v>1833</v>
      </c>
      <c r="B31" s="145">
        <v>30</v>
      </c>
      <c r="C31" t="s" s="114">
        <v>391</v>
      </c>
      <c r="D31" t="s" s="38">
        <v>245</v>
      </c>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4"/>
      <c r="AC31" s="154"/>
      <c r="AD31" s="154"/>
      <c r="AE31" s="154"/>
      <c r="AF31" s="154"/>
      <c r="AG31" s="154"/>
      <c r="AH31" s="154"/>
      <c r="AI31" s="154"/>
      <c r="AJ31" s="154"/>
      <c r="AK31" s="154"/>
      <c r="AL31" s="154"/>
      <c r="AM31" s="154"/>
      <c r="AN31" s="154"/>
      <c r="AO31" s="154"/>
      <c r="AP31" s="154"/>
      <c r="AQ31" s="154"/>
      <c r="AR31" s="154"/>
      <c r="AS31" s="154"/>
      <c r="AT31" s="154"/>
      <c r="AU31" s="154"/>
      <c r="AV31" s="154"/>
      <c r="AW31" s="154"/>
      <c r="AX31" s="154"/>
      <c r="AY31" s="154"/>
      <c r="AZ31" s="154"/>
      <c r="BA31" s="154"/>
      <c r="BB31" s="154"/>
    </row>
    <row r="32" spans="1:54" ht="24">
      <c r="A32" t="s" s="157">
        <v>1548</v>
      </c>
      <c r="B32" s="145">
        <v>31</v>
      </c>
      <c r="C32" t="s" s="114">
        <v>424</v>
      </c>
      <c r="D32" t="s" s="38">
        <v>271</v>
      </c>
      <c r="E32" t="s" s="154">
        <v>68</v>
      </c>
      <c r="F32" t="s" s="154">
        <v>68</v>
      </c>
      <c r="G32" t="s" s="154">
        <v>68</v>
      </c>
      <c r="H32" t="s" s="154">
        <v>68</v>
      </c>
      <c r="I32" t="s" s="154">
        <v>68</v>
      </c>
      <c r="J32" t="s" s="154">
        <v>68</v>
      </c>
      <c r="K32" t="s" s="154">
        <v>68</v>
      </c>
      <c r="L32" t="s" s="154">
        <v>68</v>
      </c>
      <c r="M32" t="s" s="154">
        <v>68</v>
      </c>
      <c r="N32" t="s" s="154">
        <v>68</v>
      </c>
      <c r="O32" t="s" s="154">
        <v>68</v>
      </c>
      <c r="P32" t="s" s="154">
        <v>68</v>
      </c>
      <c r="Q32" t="s" s="154">
        <v>68</v>
      </c>
      <c r="R32" t="s" s="154">
        <v>68</v>
      </c>
      <c r="S32" t="s" s="154">
        <v>68</v>
      </c>
      <c r="T32" t="s" s="154">
        <v>68</v>
      </c>
      <c r="U32" t="s" s="154">
        <v>68</v>
      </c>
      <c r="V32" t="s" s="154">
        <v>68</v>
      </c>
      <c r="W32" t="s" s="154">
        <v>68</v>
      </c>
      <c r="X32" t="s" s="154">
        <v>68</v>
      </c>
      <c r="Y32" t="s" s="154">
        <v>68</v>
      </c>
      <c r="Z32" t="s" s="154">
        <v>68</v>
      </c>
      <c r="AA32" t="s" s="154">
        <v>68</v>
      </c>
      <c r="AB32" t="s" s="154">
        <v>68</v>
      </c>
      <c r="AC32" t="s" s="154">
        <v>68</v>
      </c>
      <c r="AD32" t="s" s="154">
        <v>68</v>
      </c>
      <c r="AE32" t="s" s="154">
        <v>68</v>
      </c>
      <c r="AF32" t="s" s="154">
        <v>68</v>
      </c>
      <c r="AG32" t="s" s="154">
        <v>68</v>
      </c>
      <c r="AH32" t="s" s="154">
        <v>68</v>
      </c>
      <c r="AI32" t="s" s="154">
        <v>68</v>
      </c>
      <c r="AJ32" t="s" s="154">
        <v>68</v>
      </c>
      <c r="AK32" t="s" s="154">
        <v>68</v>
      </c>
      <c r="AL32" t="s" s="154">
        <v>68</v>
      </c>
      <c r="AM32" t="s" s="154">
        <v>68</v>
      </c>
      <c r="AN32" t="s" s="154">
        <v>68</v>
      </c>
      <c r="AO32" t="s" s="154">
        <v>68</v>
      </c>
      <c r="AP32" t="s" s="154">
        <v>68</v>
      </c>
      <c r="AQ32" t="s" s="154">
        <v>68</v>
      </c>
      <c r="AR32" t="s" s="154">
        <v>68</v>
      </c>
      <c r="AS32" t="s" s="154">
        <v>68</v>
      </c>
      <c r="AT32" t="s" s="154">
        <v>68</v>
      </c>
      <c r="AU32" t="s" s="154">
        <v>68</v>
      </c>
      <c r="AV32" t="s" s="154">
        <v>68</v>
      </c>
      <c r="AW32" t="s" s="154">
        <v>68</v>
      </c>
      <c r="AX32" t="s" s="154">
        <v>68</v>
      </c>
      <c r="AY32" t="s" s="154">
        <v>68</v>
      </c>
      <c r="AZ32" t="s" s="154">
        <v>68</v>
      </c>
      <c r="BA32" t="s" s="154">
        <v>68</v>
      </c>
      <c r="BB32" t="s" s="154">
        <v>68</v>
      </c>
    </row>
    <row r="33" spans="1:54">
      <c r="B33" s="145">
        <v>32</v>
      </c>
      <c r="C33" t="s" s="114">
        <v>955</v>
      </c>
      <c r="D33" t="s" s="38">
        <v>1378</v>
      </c>
      <c r="E33" t="s" s="154">
        <v>68</v>
      </c>
      <c r="F33" t="s" s="154">
        <v>68</v>
      </c>
      <c r="G33" t="s" s="154">
        <v>68</v>
      </c>
      <c r="H33" t="s" s="154">
        <v>68</v>
      </c>
      <c r="I33" t="s" s="154">
        <v>68</v>
      </c>
      <c r="J33" t="s" s="154">
        <v>68</v>
      </c>
      <c r="K33" t="s" s="154">
        <v>68</v>
      </c>
      <c r="L33" t="s" s="154">
        <v>68</v>
      </c>
      <c r="M33" t="s" s="154">
        <v>68</v>
      </c>
      <c r="N33" t="s" s="154">
        <v>68</v>
      </c>
      <c r="O33" t="s" s="154">
        <v>68</v>
      </c>
      <c r="P33" t="s" s="154">
        <v>68</v>
      </c>
      <c r="Q33" t="s" s="154">
        <v>68</v>
      </c>
      <c r="R33" t="s" s="154">
        <v>68</v>
      </c>
      <c r="S33" t="s" s="154">
        <v>68</v>
      </c>
      <c r="T33" t="s" s="154">
        <v>68</v>
      </c>
      <c r="U33" t="s" s="154">
        <v>68</v>
      </c>
      <c r="V33" t="s" s="154">
        <v>68</v>
      </c>
      <c r="W33" t="s" s="154">
        <v>68</v>
      </c>
      <c r="X33" t="s" s="154">
        <v>68</v>
      </c>
      <c r="Y33" t="s" s="154">
        <v>68</v>
      </c>
      <c r="Z33" t="s" s="154">
        <v>68</v>
      </c>
      <c r="AA33" t="s" s="154">
        <v>68</v>
      </c>
      <c r="AB33" t="s" s="154">
        <v>68</v>
      </c>
      <c r="AC33" t="s" s="154">
        <v>68</v>
      </c>
      <c r="AD33" t="s" s="154">
        <v>68</v>
      </c>
      <c r="AE33" t="s" s="154">
        <v>68</v>
      </c>
      <c r="AF33" t="s" s="154">
        <v>68</v>
      </c>
      <c r="AG33" t="s" s="154">
        <v>68</v>
      </c>
      <c r="AH33" t="s" s="154">
        <v>68</v>
      </c>
      <c r="AI33" t="s" s="154">
        <v>68</v>
      </c>
      <c r="AJ33" t="s" s="154">
        <v>68</v>
      </c>
      <c r="AK33" t="s" s="154">
        <v>68</v>
      </c>
      <c r="AL33" t="s" s="154">
        <v>68</v>
      </c>
      <c r="AM33" t="s" s="154">
        <v>68</v>
      </c>
      <c r="AN33" t="s" s="154">
        <v>68</v>
      </c>
      <c r="AO33" t="s" s="154">
        <v>68</v>
      </c>
      <c r="AP33" t="s" s="154">
        <v>68</v>
      </c>
      <c r="AQ33" t="s" s="154">
        <v>68</v>
      </c>
      <c r="AR33" t="s" s="154">
        <v>68</v>
      </c>
      <c r="AS33" t="s" s="154">
        <v>68</v>
      </c>
      <c r="AT33" t="s" s="154">
        <v>68</v>
      </c>
      <c r="AU33" t="s" s="154">
        <v>68</v>
      </c>
      <c r="AV33" t="s" s="154">
        <v>68</v>
      </c>
      <c r="AW33" t="s" s="154">
        <v>68</v>
      </c>
      <c r="AX33" t="s" s="154">
        <v>68</v>
      </c>
      <c r="AY33" t="s" s="154">
        <v>68</v>
      </c>
      <c r="AZ33" t="s" s="154">
        <v>68</v>
      </c>
      <c r="BA33" t="s" s="154">
        <v>68</v>
      </c>
      <c r="BB33" t="s" s="154">
        <v>68</v>
      </c>
    </row>
    <row r="34" spans="1:54">
      <c r="B34" s="145">
        <v>33</v>
      </c>
      <c r="C34" t="s" s="114">
        <v>378</v>
      </c>
      <c r="D34" t="s" s="38">
        <v>1378</v>
      </c>
      <c r="E34" t="s" s="154">
        <v>68</v>
      </c>
      <c r="F34" t="s" s="154">
        <v>68</v>
      </c>
      <c r="G34" t="s" s="154">
        <v>68</v>
      </c>
      <c r="H34" t="s" s="154">
        <v>68</v>
      </c>
      <c r="I34" t="s" s="154">
        <v>68</v>
      </c>
      <c r="J34" t="s" s="154">
        <v>68</v>
      </c>
      <c r="K34" t="s" s="154">
        <v>68</v>
      </c>
      <c r="L34" t="s" s="154">
        <v>68</v>
      </c>
      <c r="M34" t="s" s="154">
        <v>68</v>
      </c>
      <c r="N34" t="s" s="154">
        <v>68</v>
      </c>
      <c r="O34" t="s" s="154">
        <v>68</v>
      </c>
      <c r="P34" t="s" s="154">
        <v>68</v>
      </c>
      <c r="Q34" t="s" s="154">
        <v>68</v>
      </c>
      <c r="R34" t="s" s="154">
        <v>68</v>
      </c>
      <c r="S34" t="s" s="154">
        <v>68</v>
      </c>
      <c r="T34" t="s" s="154">
        <v>68</v>
      </c>
      <c r="U34" t="s" s="154">
        <v>68</v>
      </c>
      <c r="V34" t="s" s="154">
        <v>68</v>
      </c>
      <c r="W34" t="s" s="154">
        <v>68</v>
      </c>
      <c r="X34" t="s" s="154">
        <v>68</v>
      </c>
      <c r="Y34" t="s" s="154">
        <v>68</v>
      </c>
      <c r="Z34" t="s" s="154">
        <v>68</v>
      </c>
      <c r="AA34" t="s" s="154">
        <v>68</v>
      </c>
      <c r="AB34" t="s" s="154">
        <v>68</v>
      </c>
      <c r="AC34" t="s" s="154">
        <v>68</v>
      </c>
      <c r="AD34" t="s" s="154">
        <v>68</v>
      </c>
      <c r="AE34" t="s" s="154">
        <v>68</v>
      </c>
      <c r="AF34" t="s" s="154">
        <v>68</v>
      </c>
      <c r="AG34" t="s" s="154">
        <v>68</v>
      </c>
      <c r="AH34" t="s" s="154">
        <v>68</v>
      </c>
      <c r="AI34" t="s" s="154">
        <v>68</v>
      </c>
      <c r="AJ34" t="s" s="154">
        <v>68</v>
      </c>
      <c r="AK34" t="s" s="154">
        <v>68</v>
      </c>
      <c r="AL34" t="s" s="154">
        <v>68</v>
      </c>
      <c r="AM34" t="s" s="154">
        <v>68</v>
      </c>
      <c r="AN34" t="s" s="154">
        <v>68</v>
      </c>
      <c r="AO34" t="s" s="154">
        <v>68</v>
      </c>
      <c r="AP34" t="s" s="154">
        <v>68</v>
      </c>
      <c r="AQ34" t="s" s="154">
        <v>68</v>
      </c>
      <c r="AR34" t="s" s="154">
        <v>68</v>
      </c>
      <c r="AS34" t="s" s="154">
        <v>68</v>
      </c>
      <c r="AT34" t="s" s="154">
        <v>68</v>
      </c>
      <c r="AU34" t="s" s="154">
        <v>68</v>
      </c>
      <c r="AV34" t="s" s="154">
        <v>68</v>
      </c>
      <c r="AW34" t="s" s="154">
        <v>68</v>
      </c>
      <c r="AX34" t="s" s="154">
        <v>68</v>
      </c>
      <c r="AY34" t="s" s="154">
        <v>68</v>
      </c>
      <c r="AZ34" t="s" s="154">
        <v>68</v>
      </c>
      <c r="BA34" t="s" s="154">
        <v>68</v>
      </c>
      <c r="BB34" t="s" s="154">
        <v>68</v>
      </c>
    </row>
    <row r="35" spans="1:54" ht="24">
      <c r="A35" t="s" s="157">
        <v>1548</v>
      </c>
      <c r="B35" s="145">
        <v>34</v>
      </c>
      <c r="C35" t="s" s="114">
        <v>1064</v>
      </c>
      <c r="D35" t="s" s="38">
        <v>138</v>
      </c>
      <c r="E35" t="s" s="154">
        <v>68</v>
      </c>
      <c r="F35" t="s" s="154">
        <v>68</v>
      </c>
      <c r="G35" t="s" s="154">
        <v>68</v>
      </c>
      <c r="H35" t="s" s="154">
        <v>68</v>
      </c>
      <c r="I35" t="s" s="154">
        <v>68</v>
      </c>
      <c r="J35" t="s" s="154">
        <v>68</v>
      </c>
      <c r="K35" t="s" s="154">
        <v>68</v>
      </c>
      <c r="L35" t="s" s="154">
        <v>68</v>
      </c>
      <c r="M35" t="s" s="154">
        <v>68</v>
      </c>
      <c r="N35" t="s" s="154">
        <v>68</v>
      </c>
      <c r="O35" t="s" s="154">
        <v>68</v>
      </c>
      <c r="P35" t="s" s="154">
        <v>68</v>
      </c>
      <c r="Q35" t="s" s="154">
        <v>68</v>
      </c>
      <c r="R35" t="s" s="154">
        <v>68</v>
      </c>
      <c r="S35" t="s" s="154">
        <v>68</v>
      </c>
      <c r="T35" t="s" s="154">
        <v>68</v>
      </c>
      <c r="U35" t="s" s="154">
        <v>68</v>
      </c>
      <c r="V35" t="s" s="154">
        <v>68</v>
      </c>
      <c r="W35" t="s" s="154">
        <v>68</v>
      </c>
      <c r="X35" t="s" s="154">
        <v>68</v>
      </c>
      <c r="Y35" t="s" s="154">
        <v>68</v>
      </c>
      <c r="Z35" t="s" s="154">
        <v>68</v>
      </c>
      <c r="AA35" t="s" s="154">
        <v>68</v>
      </c>
      <c r="AB35" t="s" s="154">
        <v>68</v>
      </c>
      <c r="AC35" t="s" s="154">
        <v>68</v>
      </c>
      <c r="AD35" t="s" s="154">
        <v>68</v>
      </c>
      <c r="AE35" t="s" s="154">
        <v>68</v>
      </c>
      <c r="AF35" t="s" s="154">
        <v>68</v>
      </c>
      <c r="AG35" t="s" s="154">
        <v>68</v>
      </c>
      <c r="AH35" t="s" s="154">
        <v>68</v>
      </c>
      <c r="AI35" t="s" s="154">
        <v>68</v>
      </c>
      <c r="AJ35" t="s" s="154">
        <v>68</v>
      </c>
      <c r="AK35" t="s" s="154">
        <v>68</v>
      </c>
      <c r="AL35" t="s" s="154">
        <v>68</v>
      </c>
      <c r="AM35" t="s" s="154">
        <v>68</v>
      </c>
      <c r="AN35" t="s" s="154">
        <v>68</v>
      </c>
      <c r="AO35" t="s" s="154">
        <v>68</v>
      </c>
      <c r="AP35" t="s" s="154">
        <v>68</v>
      </c>
      <c r="AQ35" t="s" s="154">
        <v>68</v>
      </c>
      <c r="AR35" t="s" s="154">
        <v>68</v>
      </c>
      <c r="AS35" t="s" s="154">
        <v>68</v>
      </c>
      <c r="AT35" t="s" s="154">
        <v>68</v>
      </c>
      <c r="AU35" t="s" s="154">
        <v>68</v>
      </c>
      <c r="AV35" t="s" s="154">
        <v>68</v>
      </c>
      <c r="AW35" t="s" s="154">
        <v>68</v>
      </c>
      <c r="AX35" t="s" s="154">
        <v>68</v>
      </c>
      <c r="AY35" t="s" s="154">
        <v>68</v>
      </c>
      <c r="AZ35" t="s" s="154">
        <v>68</v>
      </c>
      <c r="BA35" t="s" s="154">
        <v>68</v>
      </c>
      <c r="BB35" t="s" s="154">
        <v>68</v>
      </c>
    </row>
    <row r="36" spans="1:54">
      <c r="A36" t="s" s="157">
        <v>1833</v>
      </c>
      <c r="B36" s="145">
        <v>35</v>
      </c>
      <c r="C36" t="s" s="114">
        <v>778</v>
      </c>
      <c r="D36" t="s" s="38">
        <v>1775</v>
      </c>
      <c r="E36" s="125"/>
      <c r="F36" s="125"/>
      <c r="G36" s="125"/>
      <c r="H36" s="125"/>
      <c r="I36" s="125"/>
      <c r="J36" s="125"/>
      <c r="K36" s="125"/>
      <c r="L36" s="125"/>
      <c r="M36" s="125"/>
      <c r="N36" s="125"/>
      <c r="O36" s="125"/>
      <c r="P36" s="125"/>
      <c r="Q36" s="125"/>
      <c r="R36" s="12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row>
    <row r="37" spans="1:54">
      <c r="A37" t="s" s="157">
        <v>1833</v>
      </c>
      <c r="B37" s="145">
        <v>36</v>
      </c>
      <c r="C37" t="s" s="114">
        <v>1287</v>
      </c>
      <c r="D37" t="s" s="38">
        <v>1805</v>
      </c>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4"/>
      <c r="AC37" s="154"/>
      <c r="AD37" s="154"/>
      <c r="AE37" s="154"/>
      <c r="AF37" s="154"/>
      <c r="AG37" s="154"/>
      <c r="AH37" s="154"/>
      <c r="AI37" s="154"/>
      <c r="AJ37" s="154"/>
      <c r="AK37" s="154"/>
      <c r="AL37" s="154"/>
      <c r="AM37" s="154"/>
      <c r="AN37" s="154"/>
      <c r="AO37" s="154"/>
      <c r="AP37" s="154"/>
      <c r="AQ37" s="154"/>
      <c r="AR37" s="154"/>
      <c r="AS37" s="154"/>
      <c r="AT37" s="154"/>
      <c r="AU37" s="154"/>
      <c r="AV37" s="154"/>
      <c r="AW37" s="154"/>
      <c r="AX37" s="154"/>
      <c r="AY37" s="154"/>
      <c r="AZ37" s="154"/>
      <c r="BA37" s="154"/>
      <c r="BB37" s="154"/>
    </row>
    <row r="38" spans="1:54">
      <c r="A38" t="s" s="157">
        <v>1833</v>
      </c>
      <c r="B38" s="145">
        <v>37</v>
      </c>
      <c r="C38" t="s" s="114">
        <v>1370</v>
      </c>
      <c r="D38" t="s" s="38">
        <v>1294</v>
      </c>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4"/>
      <c r="AC38" s="154"/>
      <c r="AD38" s="154"/>
      <c r="AE38" s="154"/>
      <c r="AF38" s="154"/>
      <c r="AG38" s="154"/>
      <c r="AH38" s="154"/>
      <c r="AI38" s="154"/>
      <c r="AJ38" s="154"/>
      <c r="AK38" s="154"/>
      <c r="AL38" s="154"/>
      <c r="AM38" s="154"/>
      <c r="AN38" s="154"/>
      <c r="AO38" s="154"/>
      <c r="AP38" s="154"/>
      <c r="AQ38" s="154"/>
      <c r="AR38" s="154"/>
      <c r="AS38" s="154"/>
      <c r="AT38" s="154"/>
      <c r="AU38" s="154"/>
      <c r="AV38" s="154"/>
      <c r="AW38" s="154"/>
      <c r="AX38" s="154"/>
      <c r="AY38" s="154"/>
      <c r="AZ38" s="154"/>
      <c r="BA38" s="154"/>
      <c r="BB38" s="154"/>
    </row>
    <row r="39" spans="1:54" ht="24">
      <c r="A39" t="s" s="157">
        <v>1548</v>
      </c>
      <c r="B39" s="145">
        <v>38</v>
      </c>
      <c r="C39" t="s" s="114">
        <v>101</v>
      </c>
      <c r="D39" t="s" s="38">
        <v>1386</v>
      </c>
      <c r="E39" t="s" s="154">
        <v>68</v>
      </c>
      <c r="F39" t="s" s="154">
        <v>68</v>
      </c>
      <c r="G39" t="s" s="154">
        <v>68</v>
      </c>
      <c r="H39" t="s" s="154">
        <v>68</v>
      </c>
      <c r="I39" t="s" s="154">
        <v>68</v>
      </c>
      <c r="J39" t="s" s="154">
        <v>68</v>
      </c>
      <c r="K39" t="s" s="154">
        <v>68</v>
      </c>
      <c r="L39" t="s" s="154">
        <v>68</v>
      </c>
      <c r="M39" t="s" s="154">
        <v>68</v>
      </c>
      <c r="N39" t="s" s="154">
        <v>68</v>
      </c>
      <c r="O39" t="s" s="154">
        <v>68</v>
      </c>
      <c r="P39" t="s" s="154">
        <v>68</v>
      </c>
      <c r="Q39" t="s" s="154">
        <v>68</v>
      </c>
      <c r="R39" t="s" s="154">
        <v>68</v>
      </c>
      <c r="S39" t="s" s="154">
        <v>68</v>
      </c>
      <c r="T39" t="s" s="154">
        <v>68</v>
      </c>
      <c r="U39" t="s" s="154">
        <v>68</v>
      </c>
      <c r="V39" t="s" s="154">
        <v>68</v>
      </c>
      <c r="W39" t="s" s="154">
        <v>68</v>
      </c>
      <c r="X39" t="s" s="154">
        <v>68</v>
      </c>
      <c r="Y39" t="s" s="154">
        <v>68</v>
      </c>
      <c r="Z39" t="s" s="154">
        <v>68</v>
      </c>
      <c r="AA39" t="s" s="154">
        <v>68</v>
      </c>
      <c r="AB39" t="s" s="154">
        <v>68</v>
      </c>
      <c r="AC39" t="s" s="154">
        <v>68</v>
      </c>
      <c r="AD39" t="s" s="154">
        <v>68</v>
      </c>
      <c r="AE39" t="s" s="154">
        <v>68</v>
      </c>
      <c r="AF39" t="s" s="154">
        <v>68</v>
      </c>
      <c r="AG39" t="s" s="154">
        <v>68</v>
      </c>
      <c r="AH39" t="s" s="154">
        <v>68</v>
      </c>
      <c r="AI39" t="s" s="154">
        <v>68</v>
      </c>
      <c r="AJ39" t="s" s="154">
        <v>68</v>
      </c>
      <c r="AK39" t="s" s="154">
        <v>68</v>
      </c>
      <c r="AL39" t="s" s="154">
        <v>68</v>
      </c>
      <c r="AM39" t="s" s="154">
        <v>68</v>
      </c>
      <c r="AN39" t="s" s="154">
        <v>68</v>
      </c>
      <c r="AO39" t="s" s="154">
        <v>68</v>
      </c>
      <c r="AP39" t="s" s="154">
        <v>68</v>
      </c>
      <c r="AQ39" t="s" s="154">
        <v>68</v>
      </c>
      <c r="AR39" t="s" s="154">
        <v>68</v>
      </c>
      <c r="AS39" t="s" s="154">
        <v>68</v>
      </c>
      <c r="AT39" t="s" s="154">
        <v>68</v>
      </c>
      <c r="AU39" t="s" s="154">
        <v>68</v>
      </c>
      <c r="AV39" t="s" s="154">
        <v>68</v>
      </c>
      <c r="AW39" t="s" s="154">
        <v>68</v>
      </c>
      <c r="AX39" t="s" s="154">
        <v>68</v>
      </c>
      <c r="AY39" t="s" s="154">
        <v>68</v>
      </c>
      <c r="AZ39" t="s" s="154">
        <v>68</v>
      </c>
      <c r="BA39" t="s" s="154">
        <v>68</v>
      </c>
      <c r="BB39" t="s" s="154">
        <v>68</v>
      </c>
    </row>
    <row r="40" spans="1:54">
      <c r="A40" t="s" s="157">
        <v>1833</v>
      </c>
      <c r="B40" s="145">
        <v>39</v>
      </c>
      <c r="C40" t="s" s="114">
        <v>1295</v>
      </c>
      <c r="D40" t="s" s="38">
        <v>103</v>
      </c>
      <c r="E40" s="125"/>
      <c r="F40" s="125"/>
      <c r="G40" s="125"/>
      <c r="H40" s="125"/>
      <c r="I40" s="125"/>
      <c r="J40" s="125"/>
      <c r="K40" s="125"/>
      <c r="L40" s="125"/>
      <c r="M40" s="125"/>
      <c r="N40" s="125"/>
      <c r="O40" s="125"/>
      <c r="P40" s="125"/>
      <c r="Q40" s="125"/>
      <c r="R40" s="12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row>
    <row r="41" spans="1:54">
      <c r="A41" t="s" s="157">
        <v>1833</v>
      </c>
      <c r="B41" s="145">
        <v>40</v>
      </c>
      <c r="C41" t="s" s="114">
        <v>1407</v>
      </c>
      <c r="D41" t="s" s="38">
        <v>1364</v>
      </c>
      <c r="E41" s="154"/>
      <c r="F41" s="154"/>
      <c r="G41" s="154"/>
      <c r="H41" s="154"/>
      <c r="I41" s="154"/>
      <c r="J41" s="154"/>
      <c r="K41" s="154"/>
      <c r="L41" s="154"/>
      <c r="M41" s="154"/>
      <c r="N41" s="154"/>
      <c r="O41" s="154"/>
      <c r="P41" s="154"/>
      <c r="Q41" s="154"/>
      <c r="R41" s="154"/>
      <c r="S41" s="154"/>
      <c r="T41" s="154"/>
      <c r="U41" s="154"/>
      <c r="V41" s="154"/>
      <c r="W41" s="154"/>
      <c r="X41" s="154"/>
      <c r="Y41" s="154"/>
      <c r="Z41" s="154"/>
      <c r="AA41" s="154"/>
      <c r="AB41" s="154"/>
      <c r="AC41" s="154"/>
      <c r="AD41" s="154"/>
      <c r="AE41" s="154"/>
      <c r="AF41" s="154"/>
      <c r="AG41" s="154"/>
      <c r="AH41" s="154"/>
      <c r="AI41" s="154"/>
      <c r="AJ41" s="154"/>
      <c r="AK41" s="154"/>
      <c r="AL41" s="154"/>
      <c r="AM41" s="154"/>
      <c r="AN41" s="154"/>
      <c r="AO41" s="154"/>
      <c r="AP41" s="154"/>
      <c r="AQ41" s="154"/>
      <c r="AR41" s="154"/>
      <c r="AS41" s="154"/>
      <c r="AT41" s="154"/>
      <c r="AU41" s="154"/>
      <c r="AV41" s="154"/>
      <c r="AW41" s="154"/>
      <c r="AX41" s="154"/>
      <c r="AY41" s="154"/>
      <c r="AZ41" s="154"/>
      <c r="BA41" s="154"/>
      <c r="BB41" s="154"/>
    </row>
    <row r="42" spans="1:54">
      <c r="A42" t="s" s="157">
        <v>1833</v>
      </c>
      <c r="B42" s="145">
        <v>41</v>
      </c>
      <c r="C42" t="s" s="114">
        <v>752</v>
      </c>
      <c r="D42" t="s" s="38">
        <v>720</v>
      </c>
      <c r="E42" s="154"/>
      <c r="F42" s="154"/>
      <c r="G42" s="154"/>
      <c r="H42" s="154"/>
      <c r="I42" s="154"/>
      <c r="J42" s="154"/>
      <c r="K42" s="154"/>
      <c r="L42" s="154"/>
      <c r="M42" s="154"/>
      <c r="N42" s="154"/>
      <c r="O42" s="154"/>
      <c r="P42" s="154"/>
      <c r="Q42" s="154"/>
      <c r="R42" s="154"/>
      <c r="S42" s="154"/>
      <c r="T42" s="154"/>
      <c r="U42" s="154"/>
      <c r="V42" s="154"/>
      <c r="W42" s="154"/>
      <c r="X42" s="154"/>
      <c r="Y42" s="154"/>
      <c r="Z42" s="154"/>
      <c r="AA42" s="154"/>
      <c r="AB42" s="154"/>
      <c r="AC42" s="154"/>
      <c r="AD42" s="154"/>
      <c r="AE42" s="154"/>
      <c r="AF42" s="154"/>
      <c r="AG42" s="154"/>
      <c r="AH42" s="154"/>
      <c r="AI42" s="154"/>
      <c r="AJ42" s="154"/>
      <c r="AK42" s="154"/>
      <c r="AL42" s="154"/>
      <c r="AM42" s="154"/>
      <c r="AN42" s="154"/>
      <c r="AO42" s="154"/>
      <c r="AP42" s="154"/>
      <c r="AQ42" s="154"/>
      <c r="AR42" s="154"/>
      <c r="AS42" s="154"/>
      <c r="AT42" s="154"/>
      <c r="AU42" s="154"/>
      <c r="AV42" s="154"/>
      <c r="AW42" s="154"/>
      <c r="AX42" s="154"/>
      <c r="AY42" s="154"/>
      <c r="AZ42" s="154"/>
      <c r="BA42" s="154"/>
      <c r="BB42" s="154"/>
    </row>
    <row r="43" spans="1:54">
      <c r="B43" s="145">
        <v>42</v>
      </c>
      <c r="C43" t="s" s="114">
        <v>601</v>
      </c>
      <c r="D43" t="s" s="38">
        <v>1547</v>
      </c>
      <c r="E43" t="s" s="154">
        <v>68</v>
      </c>
      <c r="F43" t="s" s="154">
        <v>68</v>
      </c>
      <c r="G43" t="s" s="154">
        <v>68</v>
      </c>
      <c r="H43" t="s" s="154">
        <v>68</v>
      </c>
      <c r="I43" t="s" s="154">
        <v>68</v>
      </c>
      <c r="J43" t="s" s="154">
        <v>68</v>
      </c>
      <c r="K43" t="s" s="154">
        <v>68</v>
      </c>
      <c r="L43" t="s" s="154">
        <v>68</v>
      </c>
      <c r="M43" t="s" s="154">
        <v>68</v>
      </c>
      <c r="N43" t="s" s="154">
        <v>68</v>
      </c>
      <c r="O43" t="s" s="154">
        <v>68</v>
      </c>
      <c r="P43" t="s" s="154">
        <v>68</v>
      </c>
      <c r="Q43" t="s" s="154">
        <v>68</v>
      </c>
      <c r="R43" t="s" s="154">
        <v>68</v>
      </c>
      <c r="S43" t="s" s="154">
        <v>68</v>
      </c>
      <c r="T43" t="s" s="154">
        <v>68</v>
      </c>
      <c r="U43" t="s" s="154">
        <v>68</v>
      </c>
      <c r="V43" t="s" s="154">
        <v>68</v>
      </c>
      <c r="W43" t="s" s="154">
        <v>68</v>
      </c>
      <c r="X43" t="s" s="154">
        <v>68</v>
      </c>
      <c r="Y43" t="s" s="154">
        <v>68</v>
      </c>
      <c r="Z43" t="s" s="154">
        <v>68</v>
      </c>
      <c r="AA43" t="s" s="154">
        <v>68</v>
      </c>
      <c r="AB43" t="s" s="154">
        <v>68</v>
      </c>
      <c r="AC43" t="s" s="154">
        <v>68</v>
      </c>
      <c r="AD43" t="s" s="154">
        <v>68</v>
      </c>
      <c r="AE43" t="s" s="154">
        <v>68</v>
      </c>
      <c r="AF43" t="s" s="154">
        <v>68</v>
      </c>
      <c r="AG43" t="s" s="154">
        <v>68</v>
      </c>
      <c r="AH43" t="s" s="154">
        <v>68</v>
      </c>
      <c r="AI43" t="s" s="154">
        <v>68</v>
      </c>
      <c r="AJ43" t="s" s="154">
        <v>68</v>
      </c>
      <c r="AK43" t="s" s="154">
        <v>68</v>
      </c>
      <c r="AL43" t="s" s="154">
        <v>68</v>
      </c>
      <c r="AM43" t="s" s="154">
        <v>68</v>
      </c>
      <c r="AN43" t="s" s="154">
        <v>68</v>
      </c>
      <c r="AO43" t="s" s="154">
        <v>68</v>
      </c>
      <c r="AP43" t="s" s="154">
        <v>68</v>
      </c>
      <c r="AQ43" t="s" s="154">
        <v>68</v>
      </c>
      <c r="AR43" t="s" s="154">
        <v>68</v>
      </c>
      <c r="AS43" t="s" s="154">
        <v>68</v>
      </c>
      <c r="AT43" t="s" s="154">
        <v>68</v>
      </c>
      <c r="AU43" t="s" s="154">
        <v>68</v>
      </c>
      <c r="AV43" t="s" s="154">
        <v>68</v>
      </c>
      <c r="AW43" t="s" s="154">
        <v>68</v>
      </c>
      <c r="AX43" t="s" s="154">
        <v>68</v>
      </c>
      <c r="AY43" t="s" s="154">
        <v>68</v>
      </c>
      <c r="AZ43" t="s" s="154">
        <v>68</v>
      </c>
      <c r="BA43" t="s" s="154">
        <v>68</v>
      </c>
      <c r="BB43" t="s" s="154">
        <v>68</v>
      </c>
    </row>
    <row r="44" spans="1:54" ht="24">
      <c r="B44" s="145">
        <v>43</v>
      </c>
      <c r="C44" t="s" s="114">
        <v>373</v>
      </c>
      <c r="D44" t="s" s="38">
        <v>1861</v>
      </c>
      <c r="E44" t="s" s="125">
        <v>68</v>
      </c>
      <c r="F44" t="s" s="125">
        <v>68</v>
      </c>
      <c r="G44" t="s" s="125">
        <v>68</v>
      </c>
      <c r="H44" t="s" s="125">
        <v>68</v>
      </c>
      <c r="I44" t="s" s="125">
        <v>68</v>
      </c>
      <c r="J44" t="s" s="125">
        <v>68</v>
      </c>
      <c r="K44" t="s" s="125">
        <v>68</v>
      </c>
      <c r="L44" t="s" s="125">
        <v>68</v>
      </c>
      <c r="M44" t="s" s="125">
        <v>68</v>
      </c>
      <c r="N44" t="s" s="125">
        <v>68</v>
      </c>
      <c r="O44" t="s" s="125">
        <v>68</v>
      </c>
      <c r="P44" t="s" s="125">
        <v>68</v>
      </c>
      <c r="Q44" t="s" s="125">
        <v>68</v>
      </c>
      <c r="R44" t="s" s="125">
        <v>68</v>
      </c>
      <c r="S44" t="s" s="125">
        <v>68</v>
      </c>
      <c r="T44" t="s" s="125">
        <v>68</v>
      </c>
      <c r="U44" t="s" s="125">
        <v>68</v>
      </c>
      <c r="V44" t="s" s="125">
        <v>68</v>
      </c>
      <c r="W44" t="s" s="125">
        <v>68</v>
      </c>
      <c r="X44" t="s" s="125">
        <v>68</v>
      </c>
      <c r="Y44" t="s" s="125">
        <v>68</v>
      </c>
      <c r="Z44" t="s" s="125">
        <v>68</v>
      </c>
      <c r="AA44" t="s" s="125">
        <v>68</v>
      </c>
      <c r="AB44" t="s" s="125">
        <v>68</v>
      </c>
      <c r="AC44" t="s" s="125">
        <v>68</v>
      </c>
      <c r="AD44" t="s" s="125">
        <v>68</v>
      </c>
      <c r="AE44" t="s" s="125">
        <v>68</v>
      </c>
      <c r="AF44" t="s" s="125">
        <v>68</v>
      </c>
      <c r="AG44" t="s" s="125">
        <v>68</v>
      </c>
      <c r="AH44" t="s" s="125">
        <v>68</v>
      </c>
      <c r="AI44" t="s" s="125">
        <v>68</v>
      </c>
      <c r="AJ44" t="s" s="125">
        <v>68</v>
      </c>
      <c r="AK44" t="s" s="125">
        <v>68</v>
      </c>
      <c r="AL44" t="s" s="125">
        <v>68</v>
      </c>
      <c r="AM44" t="s" s="125">
        <v>68</v>
      </c>
      <c r="AN44" t="s" s="125">
        <v>68</v>
      </c>
      <c r="AO44" t="s" s="125">
        <v>68</v>
      </c>
      <c r="AP44" t="s" s="125">
        <v>68</v>
      </c>
      <c r="AQ44" t="s" s="125">
        <v>68</v>
      </c>
      <c r="AR44" t="s" s="125">
        <v>68</v>
      </c>
      <c r="AS44" t="s" s="125">
        <v>68</v>
      </c>
      <c r="AT44" t="s" s="125">
        <v>68</v>
      </c>
      <c r="AU44" t="s" s="125">
        <v>68</v>
      </c>
      <c r="AV44" t="s" s="125">
        <v>68</v>
      </c>
      <c r="AW44" t="s" s="125">
        <v>68</v>
      </c>
      <c r="AX44" t="s" s="125">
        <v>68</v>
      </c>
      <c r="AY44" t="s" s="125">
        <v>68</v>
      </c>
      <c r="AZ44" t="s" s="125">
        <v>68</v>
      </c>
      <c r="BA44" t="s" s="125">
        <v>68</v>
      </c>
      <c r="BB44" t="s" s="125">
        <v>68</v>
      </c>
    </row>
    <row r="45" spans="1:54">
      <c r="B45" s="145">
        <v>44</v>
      </c>
      <c r="C45" t="s" s="114">
        <v>345</v>
      </c>
      <c r="D45" t="s" s="38">
        <v>1837</v>
      </c>
      <c r="E45" t="s" s="154">
        <v>68</v>
      </c>
      <c r="F45" t="s" s="154">
        <v>68</v>
      </c>
      <c r="G45" t="s" s="154">
        <v>68</v>
      </c>
      <c r="H45" t="s" s="154">
        <v>68</v>
      </c>
      <c r="I45" t="s" s="154">
        <v>68</v>
      </c>
      <c r="J45" t="s" s="154">
        <v>68</v>
      </c>
      <c r="K45" t="s" s="154">
        <v>68</v>
      </c>
      <c r="L45" t="s" s="154">
        <v>68</v>
      </c>
      <c r="M45" t="s" s="154">
        <v>68</v>
      </c>
      <c r="N45" t="s" s="154">
        <v>68</v>
      </c>
      <c r="O45" t="s" s="154">
        <v>68</v>
      </c>
      <c r="P45" t="s" s="154">
        <v>68</v>
      </c>
      <c r="Q45" t="s" s="154">
        <v>68</v>
      </c>
      <c r="R45" t="s" s="154">
        <v>68</v>
      </c>
      <c r="S45" t="s" s="154">
        <v>68</v>
      </c>
      <c r="T45" t="s" s="154">
        <v>68</v>
      </c>
      <c r="U45" t="s" s="154">
        <v>68</v>
      </c>
      <c r="V45" t="s" s="154">
        <v>68</v>
      </c>
      <c r="W45" t="s" s="154">
        <v>68</v>
      </c>
      <c r="X45" t="s" s="154">
        <v>68</v>
      </c>
      <c r="Y45" t="s" s="154">
        <v>68</v>
      </c>
      <c r="Z45" t="s" s="154">
        <v>68</v>
      </c>
      <c r="AA45" t="s" s="154">
        <v>68</v>
      </c>
      <c r="AB45" t="s" s="154">
        <v>68</v>
      </c>
      <c r="AC45" t="s" s="154">
        <v>68</v>
      </c>
      <c r="AD45" t="s" s="154">
        <v>68</v>
      </c>
      <c r="AE45" t="s" s="154">
        <v>68</v>
      </c>
      <c r="AF45" t="s" s="154">
        <v>68</v>
      </c>
      <c r="AG45" t="s" s="154">
        <v>68</v>
      </c>
      <c r="AH45" t="s" s="154">
        <v>68</v>
      </c>
      <c r="AI45" t="s" s="154">
        <v>68</v>
      </c>
      <c r="AJ45" t="s" s="154">
        <v>68</v>
      </c>
      <c r="AK45" t="s" s="154">
        <v>68</v>
      </c>
      <c r="AL45" t="s" s="154">
        <v>68</v>
      </c>
      <c r="AM45" t="s" s="154">
        <v>68</v>
      </c>
      <c r="AN45" t="s" s="154">
        <v>68</v>
      </c>
      <c r="AO45" t="s" s="154">
        <v>68</v>
      </c>
      <c r="AP45" t="s" s="154">
        <v>68</v>
      </c>
      <c r="AQ45" t="s" s="154">
        <v>68</v>
      </c>
      <c r="AR45" t="s" s="154">
        <v>68</v>
      </c>
      <c r="AS45" t="s" s="154">
        <v>68</v>
      </c>
      <c r="AT45" t="s" s="154">
        <v>68</v>
      </c>
      <c r="AU45" t="s" s="154">
        <v>68</v>
      </c>
      <c r="AV45" t="s" s="154">
        <v>68</v>
      </c>
      <c r="AW45" t="s" s="154">
        <v>68</v>
      </c>
      <c r="AX45" t="s" s="154">
        <v>68</v>
      </c>
      <c r="AY45" t="s" s="154">
        <v>68</v>
      </c>
      <c r="AZ45" t="s" s="154">
        <v>68</v>
      </c>
      <c r="BA45" t="s" s="154">
        <v>68</v>
      </c>
      <c r="BB45" t="s" s="154">
        <v>68</v>
      </c>
    </row>
    <row r="46" spans="1:54">
      <c r="B46" s="145">
        <v>45</v>
      </c>
      <c r="C46" t="s" s="114">
        <v>1293</v>
      </c>
      <c r="D46" t="s" s="38">
        <v>1</v>
      </c>
      <c r="E46" t="s" s="154">
        <v>68</v>
      </c>
      <c r="F46" t="s" s="154">
        <v>68</v>
      </c>
      <c r="G46" t="s" s="154">
        <v>68</v>
      </c>
      <c r="H46" t="s" s="154">
        <v>68</v>
      </c>
      <c r="I46" t="s" s="154">
        <v>68</v>
      </c>
      <c r="J46" t="s" s="154">
        <v>68</v>
      </c>
      <c r="K46" t="s" s="154">
        <v>68</v>
      </c>
      <c r="L46" t="s" s="154">
        <v>68</v>
      </c>
      <c r="M46" t="s" s="154">
        <v>68</v>
      </c>
      <c r="N46" t="s" s="154">
        <v>68</v>
      </c>
      <c r="O46" t="s" s="154">
        <v>68</v>
      </c>
      <c r="P46" t="s" s="154">
        <v>68</v>
      </c>
      <c r="Q46" t="s" s="154">
        <v>68</v>
      </c>
      <c r="R46" t="s" s="154">
        <v>68</v>
      </c>
      <c r="S46" t="s" s="154">
        <v>68</v>
      </c>
      <c r="T46" t="s" s="154">
        <v>68</v>
      </c>
      <c r="U46" t="s" s="154">
        <v>68</v>
      </c>
      <c r="V46" t="s" s="154">
        <v>68</v>
      </c>
      <c r="W46" t="s" s="154">
        <v>68</v>
      </c>
      <c r="X46" t="s" s="154">
        <v>68</v>
      </c>
      <c r="Y46" t="s" s="154">
        <v>68</v>
      </c>
      <c r="Z46" t="s" s="154">
        <v>68</v>
      </c>
      <c r="AA46" t="s" s="154">
        <v>68</v>
      </c>
      <c r="AB46" t="s" s="154">
        <v>68</v>
      </c>
      <c r="AC46" t="s" s="154">
        <v>68</v>
      </c>
      <c r="AD46" t="s" s="154">
        <v>68</v>
      </c>
      <c r="AE46" t="s" s="154">
        <v>68</v>
      </c>
      <c r="AF46" t="s" s="154">
        <v>68</v>
      </c>
      <c r="AG46" t="s" s="154">
        <v>68</v>
      </c>
      <c r="AH46" t="s" s="154">
        <v>68</v>
      </c>
      <c r="AI46" t="s" s="154">
        <v>68</v>
      </c>
      <c r="AJ46" t="s" s="154">
        <v>68</v>
      </c>
      <c r="AK46" t="s" s="154">
        <v>68</v>
      </c>
      <c r="AL46" t="s" s="154">
        <v>68</v>
      </c>
      <c r="AM46" t="s" s="154">
        <v>68</v>
      </c>
      <c r="AN46" t="s" s="154">
        <v>68</v>
      </c>
      <c r="AO46" t="s" s="154">
        <v>68</v>
      </c>
      <c r="AP46" t="s" s="154">
        <v>68</v>
      </c>
      <c r="AQ46" t="s" s="154">
        <v>68</v>
      </c>
      <c r="AR46" t="s" s="154">
        <v>68</v>
      </c>
      <c r="AS46" t="s" s="154">
        <v>68</v>
      </c>
      <c r="AT46" t="s" s="154">
        <v>68</v>
      </c>
      <c r="AU46" t="s" s="154">
        <v>68</v>
      </c>
      <c r="AV46" t="s" s="154">
        <v>68</v>
      </c>
      <c r="AW46" t="s" s="154">
        <v>68</v>
      </c>
      <c r="AX46" t="s" s="154">
        <v>68</v>
      </c>
      <c r="AY46" t="s" s="154">
        <v>68</v>
      </c>
      <c r="AZ46" t="s" s="154">
        <v>68</v>
      </c>
      <c r="BA46" t="s" s="154">
        <v>68</v>
      </c>
      <c r="BB46" t="s" s="154">
        <v>68</v>
      </c>
    </row>
    <row r="47" spans="1:54" ht="24">
      <c r="B47" s="145">
        <v>46</v>
      </c>
      <c r="C47" t="s" s="114">
        <v>1561</v>
      </c>
      <c r="D47" t="s" s="38">
        <v>1386</v>
      </c>
      <c r="E47" t="s" s="154">
        <v>68</v>
      </c>
      <c r="F47" t="s" s="154">
        <v>68</v>
      </c>
      <c r="G47" t="s" s="154">
        <v>68</v>
      </c>
      <c r="H47" t="s" s="154">
        <v>68</v>
      </c>
      <c r="I47" t="s" s="154">
        <v>68</v>
      </c>
      <c r="J47" t="s" s="154">
        <v>68</v>
      </c>
      <c r="K47" t="s" s="154">
        <v>68</v>
      </c>
      <c r="L47" t="s" s="154">
        <v>68</v>
      </c>
      <c r="M47" t="s" s="154">
        <v>68</v>
      </c>
      <c r="N47" t="s" s="154">
        <v>68</v>
      </c>
      <c r="O47" t="s" s="154">
        <v>68</v>
      </c>
      <c r="P47" t="s" s="154">
        <v>68</v>
      </c>
      <c r="Q47" t="s" s="154">
        <v>68</v>
      </c>
      <c r="R47" t="s" s="154">
        <v>68</v>
      </c>
      <c r="S47" t="s" s="154">
        <v>68</v>
      </c>
      <c r="T47" t="s" s="154">
        <v>68</v>
      </c>
      <c r="U47" t="s" s="154">
        <v>68</v>
      </c>
      <c r="V47" t="s" s="154">
        <v>68</v>
      </c>
      <c r="W47" t="s" s="154">
        <v>68</v>
      </c>
      <c r="X47" t="s" s="154">
        <v>68</v>
      </c>
      <c r="Y47" t="s" s="154">
        <v>68</v>
      </c>
      <c r="Z47" t="s" s="154">
        <v>68</v>
      </c>
      <c r="AA47" t="s" s="154">
        <v>68</v>
      </c>
      <c r="AB47" t="s" s="154">
        <v>68</v>
      </c>
      <c r="AC47" t="s" s="154">
        <v>68</v>
      </c>
      <c r="AD47" t="s" s="154">
        <v>68</v>
      </c>
      <c r="AE47" t="s" s="154">
        <v>68</v>
      </c>
      <c r="AF47" t="s" s="154">
        <v>68</v>
      </c>
      <c r="AG47" t="s" s="154">
        <v>68</v>
      </c>
      <c r="AH47" t="s" s="154">
        <v>68</v>
      </c>
      <c r="AI47" t="s" s="154">
        <v>68</v>
      </c>
      <c r="AJ47" t="s" s="154">
        <v>68</v>
      </c>
      <c r="AK47" t="s" s="154">
        <v>68</v>
      </c>
      <c r="AL47" t="s" s="154">
        <v>68</v>
      </c>
      <c r="AM47" t="s" s="154">
        <v>68</v>
      </c>
      <c r="AN47" t="s" s="154">
        <v>68</v>
      </c>
      <c r="AO47" t="s" s="154">
        <v>68</v>
      </c>
      <c r="AP47" t="s" s="154">
        <v>68</v>
      </c>
      <c r="AQ47" t="s" s="154">
        <v>68</v>
      </c>
      <c r="AR47" t="s" s="154">
        <v>68</v>
      </c>
      <c r="AS47" t="s" s="154">
        <v>68</v>
      </c>
      <c r="AT47" t="s" s="154">
        <v>68</v>
      </c>
      <c r="AU47" t="s" s="154">
        <v>68</v>
      </c>
      <c r="AV47" t="s" s="154">
        <v>68</v>
      </c>
      <c r="AW47" t="s" s="154">
        <v>68</v>
      </c>
      <c r="AX47" t="s" s="154">
        <v>68</v>
      </c>
      <c r="AY47" t="s" s="154">
        <v>68</v>
      </c>
      <c r="AZ47" t="s" s="154">
        <v>68</v>
      </c>
      <c r="BA47" t="s" s="154">
        <v>68</v>
      </c>
      <c r="BB47" t="s" s="154">
        <v>68</v>
      </c>
    </row>
    <row r="48" spans="1:54">
      <c r="B48" s="145">
        <v>47</v>
      </c>
      <c r="C48" t="s" s="114">
        <v>339</v>
      </c>
      <c r="D48" t="s" s="38">
        <v>1348</v>
      </c>
      <c r="E48" t="s" s="125">
        <v>68</v>
      </c>
      <c r="F48" t="s" s="125">
        <v>68</v>
      </c>
      <c r="G48" t="s" s="125">
        <v>68</v>
      </c>
      <c r="H48" t="s" s="125">
        <v>68</v>
      </c>
      <c r="I48" t="s" s="125">
        <v>68</v>
      </c>
      <c r="J48" t="s" s="125">
        <v>68</v>
      </c>
      <c r="K48" t="s" s="125">
        <v>68</v>
      </c>
      <c r="L48" t="s" s="125">
        <v>68</v>
      </c>
      <c r="M48" t="s" s="125">
        <v>68</v>
      </c>
      <c r="N48" t="s" s="125">
        <v>68</v>
      </c>
      <c r="O48" t="s" s="125">
        <v>68</v>
      </c>
      <c r="P48" t="s" s="125">
        <v>68</v>
      </c>
      <c r="Q48" t="s" s="125">
        <v>68</v>
      </c>
      <c r="R48" t="s" s="125">
        <v>68</v>
      </c>
      <c r="S48" t="s" s="125">
        <v>68</v>
      </c>
      <c r="T48" t="s" s="125">
        <v>68</v>
      </c>
      <c r="U48" t="s" s="125">
        <v>68</v>
      </c>
      <c r="V48" t="s" s="125">
        <v>68</v>
      </c>
      <c r="W48" t="s" s="125">
        <v>68</v>
      </c>
      <c r="X48" t="s" s="125">
        <v>68</v>
      </c>
      <c r="Y48" t="s" s="125">
        <v>68</v>
      </c>
      <c r="Z48" t="s" s="125">
        <v>68</v>
      </c>
      <c r="AA48" t="s" s="125">
        <v>68</v>
      </c>
      <c r="AB48" t="s" s="125">
        <v>68</v>
      </c>
      <c r="AC48" t="s" s="125">
        <v>68</v>
      </c>
      <c r="AD48" t="s" s="125">
        <v>68</v>
      </c>
      <c r="AE48" t="s" s="125">
        <v>68</v>
      </c>
      <c r="AF48" t="s" s="125">
        <v>68</v>
      </c>
      <c r="AG48" t="s" s="125">
        <v>68</v>
      </c>
      <c r="AH48" t="s" s="125">
        <v>68</v>
      </c>
      <c r="AI48" t="s" s="125">
        <v>68</v>
      </c>
      <c r="AJ48" t="s" s="125">
        <v>68</v>
      </c>
      <c r="AK48" t="s" s="125">
        <v>68</v>
      </c>
      <c r="AL48" t="s" s="125">
        <v>68</v>
      </c>
      <c r="AM48" t="s" s="125">
        <v>68</v>
      </c>
      <c r="AN48" t="s" s="125">
        <v>68</v>
      </c>
      <c r="AO48" t="s" s="125">
        <v>68</v>
      </c>
      <c r="AP48" t="s" s="125">
        <v>68</v>
      </c>
      <c r="AQ48" t="s" s="125">
        <v>68</v>
      </c>
      <c r="AR48" t="s" s="125">
        <v>68</v>
      </c>
      <c r="AS48" t="s" s="125">
        <v>68</v>
      </c>
      <c r="AT48" t="s" s="125">
        <v>68</v>
      </c>
      <c r="AU48" t="s" s="125">
        <v>68</v>
      </c>
      <c r="AV48" t="s" s="125">
        <v>68</v>
      </c>
      <c r="AW48" t="s" s="125">
        <v>68</v>
      </c>
      <c r="AX48" t="s" s="125">
        <v>68</v>
      </c>
      <c r="AY48" t="s" s="125">
        <v>68</v>
      </c>
      <c r="AZ48" t="s" s="125">
        <v>68</v>
      </c>
      <c r="BA48" t="s" s="125">
        <v>68</v>
      </c>
      <c r="BB48" t="s" s="125">
        <v>68</v>
      </c>
    </row>
    <row r="49" spans="1:54">
      <c r="B49" s="145">
        <v>48</v>
      </c>
      <c r="C49" t="s" s="114">
        <v>729</v>
      </c>
      <c r="D49" t="s" s="38">
        <v>936</v>
      </c>
      <c r="E49" t="s" s="154">
        <v>68</v>
      </c>
      <c r="F49" t="s" s="154">
        <v>68</v>
      </c>
      <c r="G49" t="s" s="154">
        <v>68</v>
      </c>
      <c r="H49" t="s" s="154">
        <v>68</v>
      </c>
      <c r="I49" t="s" s="154">
        <v>68</v>
      </c>
      <c r="J49" t="s" s="154">
        <v>68</v>
      </c>
      <c r="K49" t="s" s="154">
        <v>68</v>
      </c>
      <c r="L49" t="s" s="154">
        <v>68</v>
      </c>
      <c r="M49" t="s" s="154">
        <v>68</v>
      </c>
      <c r="N49" t="s" s="154">
        <v>68</v>
      </c>
      <c r="O49" t="s" s="154">
        <v>68</v>
      </c>
      <c r="P49" t="s" s="154">
        <v>68</v>
      </c>
      <c r="Q49" t="s" s="154">
        <v>68</v>
      </c>
      <c r="R49" t="s" s="154">
        <v>68</v>
      </c>
      <c r="S49" t="s" s="154">
        <v>68</v>
      </c>
      <c r="T49" t="s" s="154">
        <v>68</v>
      </c>
      <c r="U49" t="s" s="154">
        <v>68</v>
      </c>
      <c r="V49" t="s" s="154">
        <v>68</v>
      </c>
      <c r="W49" t="s" s="154">
        <v>68</v>
      </c>
      <c r="X49" t="s" s="154">
        <v>68</v>
      </c>
      <c r="Y49" t="s" s="154">
        <v>68</v>
      </c>
      <c r="Z49" t="s" s="154">
        <v>68</v>
      </c>
      <c r="AA49" t="s" s="154">
        <v>68</v>
      </c>
      <c r="AB49" t="s" s="154">
        <v>68</v>
      </c>
      <c r="AC49" t="s" s="154">
        <v>68</v>
      </c>
      <c r="AD49" t="s" s="154">
        <v>68</v>
      </c>
      <c r="AE49" t="s" s="154">
        <v>68</v>
      </c>
      <c r="AF49" t="s" s="154">
        <v>68</v>
      </c>
      <c r="AG49" t="s" s="154">
        <v>68</v>
      </c>
      <c r="AH49" t="s" s="154">
        <v>68</v>
      </c>
      <c r="AI49" t="s" s="154">
        <v>68</v>
      </c>
      <c r="AJ49" t="s" s="154">
        <v>68</v>
      </c>
      <c r="AK49" t="s" s="154">
        <v>68</v>
      </c>
      <c r="AL49" t="s" s="154">
        <v>68</v>
      </c>
      <c r="AM49" t="s" s="154">
        <v>68</v>
      </c>
      <c r="AN49" t="s" s="154">
        <v>68</v>
      </c>
      <c r="AO49" t="s" s="154">
        <v>68</v>
      </c>
      <c r="AP49" t="s" s="154">
        <v>68</v>
      </c>
      <c r="AQ49" t="s" s="154">
        <v>68</v>
      </c>
      <c r="AR49" t="s" s="154">
        <v>68</v>
      </c>
      <c r="AS49" t="s" s="154">
        <v>68</v>
      </c>
      <c r="AT49" t="s" s="154">
        <v>68</v>
      </c>
      <c r="AU49" t="s" s="154">
        <v>68</v>
      </c>
      <c r="AV49" t="s" s="154">
        <v>68</v>
      </c>
      <c r="AW49" t="s" s="154">
        <v>68</v>
      </c>
      <c r="AX49" t="s" s="154">
        <v>68</v>
      </c>
      <c r="AY49" t="s" s="154">
        <v>68</v>
      </c>
      <c r="AZ49" t="s" s="154">
        <v>68</v>
      </c>
      <c r="BA49" t="s" s="154">
        <v>68</v>
      </c>
      <c r="BB49" t="s" s="154">
        <v>68</v>
      </c>
    </row>
    <row r="50" spans="1:54">
      <c r="B50" s="145">
        <v>49</v>
      </c>
      <c r="C50" t="s" s="114">
        <v>827</v>
      </c>
      <c r="D50" t="s" s="38">
        <v>921</v>
      </c>
      <c r="E50" t="s" s="154">
        <v>68</v>
      </c>
      <c r="F50" t="s" s="154">
        <v>68</v>
      </c>
      <c r="G50" t="s" s="154">
        <v>68</v>
      </c>
      <c r="H50" t="s" s="154">
        <v>68</v>
      </c>
      <c r="I50" t="s" s="154">
        <v>68</v>
      </c>
      <c r="J50" t="s" s="154">
        <v>68</v>
      </c>
      <c r="K50" t="s" s="154">
        <v>68</v>
      </c>
      <c r="L50" t="s" s="154">
        <v>68</v>
      </c>
      <c r="M50" t="s" s="154">
        <v>68</v>
      </c>
      <c r="N50" t="s" s="154">
        <v>68</v>
      </c>
      <c r="O50" t="s" s="154">
        <v>68</v>
      </c>
      <c r="P50" t="s" s="154">
        <v>68</v>
      </c>
      <c r="Q50" t="s" s="154">
        <v>68</v>
      </c>
      <c r="R50" t="s" s="154">
        <v>68</v>
      </c>
      <c r="S50" t="s" s="154">
        <v>68</v>
      </c>
      <c r="T50" t="s" s="154">
        <v>68</v>
      </c>
      <c r="U50" t="s" s="154">
        <v>68</v>
      </c>
      <c r="V50" t="s" s="154">
        <v>68</v>
      </c>
      <c r="W50" t="s" s="154">
        <v>68</v>
      </c>
      <c r="X50" t="s" s="154">
        <v>68</v>
      </c>
      <c r="Y50" t="s" s="154">
        <v>68</v>
      </c>
      <c r="Z50" t="s" s="154">
        <v>68</v>
      </c>
      <c r="AA50" t="s" s="154">
        <v>68</v>
      </c>
      <c r="AB50" t="s" s="154">
        <v>68</v>
      </c>
      <c r="AC50" t="s" s="154">
        <v>68</v>
      </c>
      <c r="AD50" t="s" s="154">
        <v>68</v>
      </c>
      <c r="AE50" t="s" s="154">
        <v>68</v>
      </c>
      <c r="AF50" t="s" s="154">
        <v>68</v>
      </c>
      <c r="AG50" t="s" s="154">
        <v>68</v>
      </c>
      <c r="AH50" t="s" s="154">
        <v>68</v>
      </c>
      <c r="AI50" t="s" s="154">
        <v>68</v>
      </c>
      <c r="AJ50" t="s" s="154">
        <v>68</v>
      </c>
      <c r="AK50" t="s" s="154">
        <v>68</v>
      </c>
      <c r="AL50" t="s" s="154">
        <v>68</v>
      </c>
      <c r="AM50" t="s" s="154">
        <v>68</v>
      </c>
      <c r="AN50" t="s" s="154">
        <v>68</v>
      </c>
      <c r="AO50" t="s" s="154">
        <v>68</v>
      </c>
      <c r="AP50" t="s" s="154">
        <v>68</v>
      </c>
      <c r="AQ50" t="s" s="154">
        <v>68</v>
      </c>
      <c r="AR50" t="s" s="154">
        <v>68</v>
      </c>
      <c r="AS50" t="s" s="154">
        <v>68</v>
      </c>
      <c r="AT50" t="s" s="154">
        <v>68</v>
      </c>
      <c r="AU50" t="s" s="154">
        <v>68</v>
      </c>
      <c r="AV50" t="s" s="154">
        <v>68</v>
      </c>
      <c r="AW50" t="s" s="154">
        <v>68</v>
      </c>
      <c r="AX50" t="s" s="154">
        <v>68</v>
      </c>
      <c r="AY50" t="s" s="154">
        <v>68</v>
      </c>
      <c r="AZ50" t="s" s="154">
        <v>68</v>
      </c>
      <c r="BA50" t="s" s="154">
        <v>68</v>
      </c>
      <c r="BB50" t="s" s="154">
        <v>68</v>
      </c>
    </row>
    <row r="51" spans="1:54" ht="24">
      <c r="B51" s="145">
        <v>50</v>
      </c>
      <c r="C51" t="s" s="114">
        <v>1301</v>
      </c>
      <c r="D51" t="s" s="38">
        <v>1386</v>
      </c>
      <c r="E51" t="s" s="154">
        <v>68</v>
      </c>
      <c r="F51" t="s" s="154">
        <v>68</v>
      </c>
      <c r="G51" t="s" s="154">
        <v>68</v>
      </c>
      <c r="H51" t="s" s="154">
        <v>68</v>
      </c>
      <c r="I51" t="s" s="154">
        <v>68</v>
      </c>
      <c r="J51" t="s" s="154">
        <v>68</v>
      </c>
      <c r="K51" t="s" s="154">
        <v>68</v>
      </c>
      <c r="L51" t="s" s="154">
        <v>68</v>
      </c>
      <c r="M51" t="s" s="154">
        <v>68</v>
      </c>
      <c r="N51" t="s" s="154">
        <v>68</v>
      </c>
      <c r="O51" t="s" s="154">
        <v>68</v>
      </c>
      <c r="P51" t="s" s="154">
        <v>68</v>
      </c>
      <c r="Q51" t="s" s="154">
        <v>68</v>
      </c>
      <c r="R51" t="s" s="154">
        <v>68</v>
      </c>
      <c r="S51" t="s" s="154">
        <v>68</v>
      </c>
      <c r="T51" t="s" s="154">
        <v>68</v>
      </c>
      <c r="U51" t="s" s="154">
        <v>68</v>
      </c>
      <c r="V51" t="s" s="154">
        <v>68</v>
      </c>
      <c r="W51" t="s" s="154">
        <v>68</v>
      </c>
      <c r="X51" t="s" s="154">
        <v>68</v>
      </c>
      <c r="Y51" t="s" s="154">
        <v>68</v>
      </c>
      <c r="Z51" t="s" s="154">
        <v>68</v>
      </c>
      <c r="AA51" t="s" s="154">
        <v>68</v>
      </c>
      <c r="AB51" t="s" s="154">
        <v>68</v>
      </c>
      <c r="AC51" t="s" s="154">
        <v>68</v>
      </c>
      <c r="AD51" t="s" s="154">
        <v>68</v>
      </c>
      <c r="AE51" t="s" s="154">
        <v>68</v>
      </c>
      <c r="AF51" t="s" s="154">
        <v>68</v>
      </c>
      <c r="AG51" t="s" s="154">
        <v>68</v>
      </c>
      <c r="AH51" t="s" s="154">
        <v>68</v>
      </c>
      <c r="AI51" t="s" s="154">
        <v>68</v>
      </c>
      <c r="AJ51" t="s" s="154">
        <v>68</v>
      </c>
      <c r="AK51" t="s" s="154">
        <v>68</v>
      </c>
      <c r="AL51" t="s" s="154">
        <v>68</v>
      </c>
      <c r="AM51" t="s" s="154">
        <v>68</v>
      </c>
      <c r="AN51" t="s" s="154">
        <v>68</v>
      </c>
      <c r="AO51" t="s" s="154">
        <v>68</v>
      </c>
      <c r="AP51" t="s" s="154">
        <v>68</v>
      </c>
      <c r="AQ51" t="s" s="154">
        <v>68</v>
      </c>
      <c r="AR51" t="s" s="154">
        <v>68</v>
      </c>
      <c r="AS51" t="s" s="154">
        <v>68</v>
      </c>
      <c r="AT51" t="s" s="154">
        <v>68</v>
      </c>
      <c r="AU51" t="s" s="154">
        <v>68</v>
      </c>
      <c r="AV51" t="s" s="154">
        <v>68</v>
      </c>
      <c r="AW51" t="s" s="154">
        <v>68</v>
      </c>
      <c r="AX51" t="s" s="154">
        <v>68</v>
      </c>
      <c r="AY51" t="s" s="154">
        <v>68</v>
      </c>
      <c r="AZ51" t="s" s="154">
        <v>68</v>
      </c>
      <c r="BA51" t="s" s="154">
        <v>68</v>
      </c>
      <c r="BB51" t="s" s="154">
        <v>68</v>
      </c>
    </row>
    <row r="52" spans="1:54">
      <c r="B52" s="145">
        <v>51</v>
      </c>
      <c r="C52" t="s" s="114">
        <v>652</v>
      </c>
      <c r="D52" t="s" s="38">
        <v>524</v>
      </c>
      <c r="E52" t="s" s="125">
        <v>68</v>
      </c>
      <c r="F52" t="s" s="125">
        <v>68</v>
      </c>
      <c r="G52" t="s" s="125">
        <v>68</v>
      </c>
      <c r="H52" t="s" s="125">
        <v>68</v>
      </c>
      <c r="I52" t="s" s="125">
        <v>68</v>
      </c>
      <c r="J52" t="s" s="125">
        <v>68</v>
      </c>
      <c r="K52" t="s" s="125">
        <v>68</v>
      </c>
      <c r="L52" t="s" s="125">
        <v>68</v>
      </c>
      <c r="M52" t="s" s="125">
        <v>68</v>
      </c>
      <c r="N52" t="s" s="125">
        <v>68</v>
      </c>
      <c r="O52" t="s" s="125">
        <v>68</v>
      </c>
      <c r="P52" t="s" s="125">
        <v>68</v>
      </c>
      <c r="Q52" t="s" s="125">
        <v>68</v>
      </c>
      <c r="R52" t="s" s="125">
        <v>68</v>
      </c>
      <c r="S52" t="s" s="125">
        <v>68</v>
      </c>
      <c r="T52" t="s" s="125">
        <v>68</v>
      </c>
      <c r="U52" t="s" s="125">
        <v>68</v>
      </c>
      <c r="V52" t="s" s="125">
        <v>68</v>
      </c>
      <c r="W52" t="s" s="125">
        <v>68</v>
      </c>
      <c r="X52" t="s" s="125">
        <v>68</v>
      </c>
      <c r="Y52" t="s" s="125">
        <v>68</v>
      </c>
      <c r="Z52" t="s" s="125">
        <v>68</v>
      </c>
      <c r="AA52" t="s" s="125">
        <v>68</v>
      </c>
      <c r="AB52" t="s" s="125">
        <v>68</v>
      </c>
      <c r="AC52" t="s" s="125">
        <v>68</v>
      </c>
      <c r="AD52" t="s" s="125">
        <v>68</v>
      </c>
      <c r="AE52" t="s" s="125">
        <v>68</v>
      </c>
      <c r="AF52" t="s" s="125">
        <v>68</v>
      </c>
      <c r="AG52" t="s" s="125">
        <v>68</v>
      </c>
      <c r="AH52" t="s" s="125">
        <v>68</v>
      </c>
      <c r="AI52" t="s" s="125">
        <v>68</v>
      </c>
      <c r="AJ52" t="s" s="125">
        <v>68</v>
      </c>
      <c r="AK52" t="s" s="125">
        <v>68</v>
      </c>
      <c r="AL52" t="s" s="125">
        <v>68</v>
      </c>
      <c r="AM52" t="s" s="125">
        <v>68</v>
      </c>
      <c r="AN52" t="s" s="125">
        <v>68</v>
      </c>
      <c r="AO52" t="s" s="125">
        <v>68</v>
      </c>
      <c r="AP52" t="s" s="125">
        <v>68</v>
      </c>
      <c r="AQ52" t="s" s="125">
        <v>68</v>
      </c>
      <c r="AR52" t="s" s="125">
        <v>68</v>
      </c>
      <c r="AS52" t="s" s="125">
        <v>68</v>
      </c>
      <c r="AT52" t="s" s="125">
        <v>68</v>
      </c>
      <c r="AU52" t="s" s="125">
        <v>68</v>
      </c>
      <c r="AV52" t="s" s="125">
        <v>68</v>
      </c>
      <c r="AW52" t="s" s="125">
        <v>68</v>
      </c>
      <c r="AX52" t="s" s="125">
        <v>68</v>
      </c>
      <c r="AY52" t="s" s="125">
        <v>68</v>
      </c>
      <c r="AZ52" t="s" s="125">
        <v>68</v>
      </c>
      <c r="BA52" t="s" s="125">
        <v>68</v>
      </c>
      <c r="BB52" t="s" s="125">
        <v>68</v>
      </c>
    </row>
    <row r="53" spans="1:54">
      <c r="B53" s="145">
        <v>52</v>
      </c>
      <c r="C53" t="s" s="114">
        <v>690</v>
      </c>
      <c r="D53" t="s" s="38">
        <v>1408</v>
      </c>
      <c r="E53" t="s" s="154">
        <v>68</v>
      </c>
      <c r="F53" t="s" s="154">
        <v>68</v>
      </c>
      <c r="G53" t="s" s="154">
        <v>68</v>
      </c>
      <c r="H53" t="s" s="154">
        <v>68</v>
      </c>
      <c r="I53" t="s" s="154">
        <v>68</v>
      </c>
      <c r="J53" t="s" s="154">
        <v>68</v>
      </c>
      <c r="K53" t="s" s="154">
        <v>68</v>
      </c>
      <c r="L53" t="s" s="154">
        <v>68</v>
      </c>
      <c r="M53" t="s" s="154">
        <v>68</v>
      </c>
      <c r="N53" t="s" s="154">
        <v>68</v>
      </c>
      <c r="O53" t="s" s="154">
        <v>68</v>
      </c>
      <c r="P53" t="s" s="154">
        <v>68</v>
      </c>
      <c r="Q53" t="s" s="154">
        <v>68</v>
      </c>
      <c r="R53" t="s" s="154">
        <v>68</v>
      </c>
      <c r="S53" t="s" s="154">
        <v>68</v>
      </c>
      <c r="T53" t="s" s="154">
        <v>68</v>
      </c>
      <c r="U53" t="s" s="154">
        <v>68</v>
      </c>
      <c r="V53" t="s" s="154">
        <v>68</v>
      </c>
      <c r="W53" t="s" s="154">
        <v>68</v>
      </c>
      <c r="X53" t="s" s="154">
        <v>68</v>
      </c>
      <c r="Y53" t="s" s="154">
        <v>68</v>
      </c>
      <c r="Z53" t="s" s="154">
        <v>68</v>
      </c>
      <c r="AA53" t="s" s="154">
        <v>68</v>
      </c>
      <c r="AB53" t="s" s="154">
        <v>68</v>
      </c>
      <c r="AC53" t="s" s="154">
        <v>68</v>
      </c>
      <c r="AD53" t="s" s="154">
        <v>68</v>
      </c>
      <c r="AE53" t="s" s="154">
        <v>68</v>
      </c>
      <c r="AF53" t="s" s="154">
        <v>68</v>
      </c>
      <c r="AG53" t="s" s="154">
        <v>68</v>
      </c>
      <c r="AH53" t="s" s="154">
        <v>68</v>
      </c>
      <c r="AI53" t="s" s="154">
        <v>68</v>
      </c>
      <c r="AJ53" t="s" s="154">
        <v>68</v>
      </c>
      <c r="AK53" t="s" s="154">
        <v>68</v>
      </c>
      <c r="AL53" t="s" s="154">
        <v>68</v>
      </c>
      <c r="AM53" t="s" s="154">
        <v>68</v>
      </c>
      <c r="AN53" t="s" s="154">
        <v>68</v>
      </c>
      <c r="AO53" t="s" s="154">
        <v>68</v>
      </c>
      <c r="AP53" t="s" s="154">
        <v>68</v>
      </c>
      <c r="AQ53" t="s" s="154">
        <v>68</v>
      </c>
      <c r="AR53" t="s" s="154">
        <v>68</v>
      </c>
      <c r="AS53" t="s" s="154">
        <v>68</v>
      </c>
      <c r="AT53" t="s" s="154">
        <v>68</v>
      </c>
      <c r="AU53" t="s" s="154">
        <v>68</v>
      </c>
      <c r="AV53" t="s" s="154">
        <v>68</v>
      </c>
      <c r="AW53" t="s" s="154">
        <v>68</v>
      </c>
      <c r="AX53" t="s" s="154">
        <v>68</v>
      </c>
      <c r="AY53" t="s" s="154">
        <v>68</v>
      </c>
      <c r="AZ53" t="s" s="154">
        <v>68</v>
      </c>
      <c r="BA53" t="s" s="154">
        <v>68</v>
      </c>
      <c r="BB53" t="s" s="154">
        <v>68</v>
      </c>
    </row>
    <row r="54" spans="1:54">
      <c r="B54" s="145">
        <v>53</v>
      </c>
      <c r="C54" t="s" s="114">
        <v>1660</v>
      </c>
      <c r="D54" t="s" s="38">
        <v>765</v>
      </c>
      <c r="E54" t="s" s="154">
        <v>68</v>
      </c>
      <c r="F54" t="s" s="154">
        <v>68</v>
      </c>
      <c r="G54" t="s" s="154">
        <v>68</v>
      </c>
      <c r="H54" t="s" s="154">
        <v>68</v>
      </c>
      <c r="I54" t="s" s="154">
        <v>68</v>
      </c>
      <c r="J54" t="s" s="154">
        <v>68</v>
      </c>
      <c r="K54" t="s" s="154">
        <v>68</v>
      </c>
      <c r="L54" t="s" s="154">
        <v>68</v>
      </c>
      <c r="M54" t="s" s="154">
        <v>68</v>
      </c>
      <c r="N54" t="s" s="154">
        <v>68</v>
      </c>
      <c r="O54" t="s" s="154">
        <v>68</v>
      </c>
      <c r="P54" t="s" s="154">
        <v>68</v>
      </c>
      <c r="Q54" t="s" s="154">
        <v>68</v>
      </c>
      <c r="R54" t="s" s="154">
        <v>68</v>
      </c>
      <c r="S54" t="s" s="154">
        <v>68</v>
      </c>
      <c r="T54" t="s" s="154">
        <v>68</v>
      </c>
      <c r="U54" t="s" s="154">
        <v>68</v>
      </c>
      <c r="V54" t="s" s="154">
        <v>68</v>
      </c>
      <c r="W54" t="s" s="154">
        <v>68</v>
      </c>
      <c r="X54" t="s" s="154">
        <v>68</v>
      </c>
      <c r="Y54" t="s" s="154">
        <v>68</v>
      </c>
      <c r="Z54" t="s" s="154">
        <v>68</v>
      </c>
      <c r="AA54" t="s" s="154">
        <v>68</v>
      </c>
      <c r="AB54" t="s" s="154">
        <v>68</v>
      </c>
      <c r="AC54" t="s" s="154">
        <v>68</v>
      </c>
      <c r="AD54" t="s" s="154">
        <v>68</v>
      </c>
      <c r="AE54" t="s" s="154">
        <v>68</v>
      </c>
      <c r="AF54" t="s" s="154">
        <v>68</v>
      </c>
      <c r="AG54" t="s" s="154">
        <v>68</v>
      </c>
      <c r="AH54" t="s" s="154">
        <v>68</v>
      </c>
      <c r="AI54" t="s" s="154">
        <v>68</v>
      </c>
      <c r="AJ54" t="s" s="154">
        <v>68</v>
      </c>
      <c r="AK54" t="s" s="154">
        <v>68</v>
      </c>
      <c r="AL54" t="s" s="154">
        <v>68</v>
      </c>
      <c r="AM54" t="s" s="154">
        <v>68</v>
      </c>
      <c r="AN54" t="s" s="154">
        <v>68</v>
      </c>
      <c r="AO54" t="s" s="154">
        <v>68</v>
      </c>
      <c r="AP54" t="s" s="154">
        <v>68</v>
      </c>
      <c r="AQ54" t="s" s="154">
        <v>68</v>
      </c>
      <c r="AR54" t="s" s="154">
        <v>68</v>
      </c>
      <c r="AS54" t="s" s="154">
        <v>68</v>
      </c>
      <c r="AT54" t="s" s="154">
        <v>68</v>
      </c>
      <c r="AU54" t="s" s="154">
        <v>68</v>
      </c>
      <c r="AV54" t="s" s="154">
        <v>68</v>
      </c>
      <c r="AW54" t="s" s="154">
        <v>68</v>
      </c>
      <c r="AX54" t="s" s="154">
        <v>68</v>
      </c>
      <c r="AY54" t="s" s="154">
        <v>68</v>
      </c>
      <c r="AZ54" t="s" s="154">
        <v>68</v>
      </c>
      <c r="BA54" t="s" s="154">
        <v>68</v>
      </c>
      <c r="BB54" t="s" s="154">
        <v>68</v>
      </c>
    </row>
    <row r="55" spans="1:54" ht="24">
      <c r="B55" s="145">
        <v>54</v>
      </c>
      <c r="C55" t="s" s="114">
        <v>113</v>
      </c>
      <c r="D55" t="s" s="38">
        <v>1386</v>
      </c>
      <c r="E55" t="s" s="154">
        <v>68</v>
      </c>
      <c r="F55" t="s" s="154">
        <v>68</v>
      </c>
      <c r="G55" t="s" s="154">
        <v>68</v>
      </c>
      <c r="H55" t="s" s="154">
        <v>68</v>
      </c>
      <c r="I55" t="s" s="154">
        <v>68</v>
      </c>
      <c r="J55" t="s" s="154">
        <v>68</v>
      </c>
      <c r="K55" t="s" s="154">
        <v>68</v>
      </c>
      <c r="L55" t="s" s="154">
        <v>68</v>
      </c>
      <c r="M55" t="s" s="154">
        <v>68</v>
      </c>
      <c r="N55" t="s" s="154">
        <v>68</v>
      </c>
      <c r="O55" t="s" s="154">
        <v>68</v>
      </c>
      <c r="P55" t="s" s="154">
        <v>68</v>
      </c>
      <c r="Q55" t="s" s="154">
        <v>68</v>
      </c>
      <c r="R55" t="s" s="154">
        <v>68</v>
      </c>
      <c r="S55" t="s" s="154">
        <v>68</v>
      </c>
      <c r="T55" t="s" s="154">
        <v>68</v>
      </c>
      <c r="U55" t="s" s="154">
        <v>68</v>
      </c>
      <c r="V55" t="s" s="154">
        <v>68</v>
      </c>
      <c r="W55" t="s" s="154">
        <v>68</v>
      </c>
      <c r="X55" t="s" s="154">
        <v>68</v>
      </c>
      <c r="Y55" t="s" s="154">
        <v>68</v>
      </c>
      <c r="Z55" t="s" s="154">
        <v>68</v>
      </c>
      <c r="AA55" t="s" s="154">
        <v>68</v>
      </c>
      <c r="AB55" t="s" s="154">
        <v>68</v>
      </c>
      <c r="AC55" t="s" s="154">
        <v>68</v>
      </c>
      <c r="AD55" t="s" s="154">
        <v>68</v>
      </c>
      <c r="AE55" t="s" s="154">
        <v>68</v>
      </c>
      <c r="AF55" t="s" s="154">
        <v>68</v>
      </c>
      <c r="AG55" t="s" s="154">
        <v>68</v>
      </c>
      <c r="AH55" t="s" s="154">
        <v>68</v>
      </c>
      <c r="AI55" t="s" s="154">
        <v>68</v>
      </c>
      <c r="AJ55" t="s" s="154">
        <v>68</v>
      </c>
      <c r="AK55" t="s" s="154">
        <v>68</v>
      </c>
      <c r="AL55" t="s" s="154">
        <v>68</v>
      </c>
      <c r="AM55" t="s" s="154">
        <v>68</v>
      </c>
      <c r="AN55" t="s" s="154">
        <v>68</v>
      </c>
      <c r="AO55" t="s" s="154">
        <v>68</v>
      </c>
      <c r="AP55" t="s" s="154">
        <v>68</v>
      </c>
      <c r="AQ55" t="s" s="154">
        <v>68</v>
      </c>
      <c r="AR55" t="s" s="154">
        <v>68</v>
      </c>
      <c r="AS55" t="s" s="154">
        <v>68</v>
      </c>
      <c r="AT55" t="s" s="154">
        <v>68</v>
      </c>
      <c r="AU55" t="s" s="154">
        <v>68</v>
      </c>
      <c r="AV55" t="s" s="154">
        <v>68</v>
      </c>
      <c r="AW55" t="s" s="154">
        <v>68</v>
      </c>
      <c r="AX55" t="s" s="154">
        <v>68</v>
      </c>
      <c r="AY55" t="s" s="154">
        <v>68</v>
      </c>
      <c r="AZ55" t="s" s="154">
        <v>68</v>
      </c>
      <c r="BA55" t="s" s="154">
        <v>68</v>
      </c>
      <c r="BB55" t="s" s="154">
        <v>68</v>
      </c>
    </row>
    <row r="56" spans="1:54">
      <c r="B56" s="145">
        <v>55</v>
      </c>
      <c r="C56" t="s" s="114">
        <v>1061</v>
      </c>
      <c r="D56" t="s" s="38">
        <v>579</v>
      </c>
      <c r="E56" t="s" s="125">
        <v>68</v>
      </c>
      <c r="F56" t="s" s="125">
        <v>68</v>
      </c>
      <c r="G56" t="s" s="125">
        <v>68</v>
      </c>
      <c r="H56" t="s" s="125">
        <v>68</v>
      </c>
      <c r="I56" t="s" s="125">
        <v>68</v>
      </c>
      <c r="J56" t="s" s="125">
        <v>68</v>
      </c>
      <c r="K56" t="s" s="125">
        <v>68</v>
      </c>
      <c r="L56" t="s" s="125">
        <v>68</v>
      </c>
      <c r="M56" t="s" s="125">
        <v>68</v>
      </c>
      <c r="N56" t="s" s="125">
        <v>68</v>
      </c>
      <c r="O56" t="s" s="125">
        <v>68</v>
      </c>
      <c r="P56" t="s" s="125">
        <v>68</v>
      </c>
      <c r="Q56" t="s" s="125">
        <v>68</v>
      </c>
      <c r="R56" t="s" s="125">
        <v>68</v>
      </c>
      <c r="S56" t="s" s="125">
        <v>68</v>
      </c>
      <c r="T56" t="s" s="125">
        <v>68</v>
      </c>
      <c r="U56" t="s" s="125">
        <v>68</v>
      </c>
      <c r="V56" t="s" s="125">
        <v>68</v>
      </c>
      <c r="W56" t="s" s="125">
        <v>68</v>
      </c>
      <c r="X56" t="s" s="125">
        <v>68</v>
      </c>
      <c r="Y56" t="s" s="125">
        <v>68</v>
      </c>
      <c r="Z56" t="s" s="125">
        <v>68</v>
      </c>
      <c r="AA56" t="s" s="125">
        <v>68</v>
      </c>
      <c r="AB56" t="s" s="125">
        <v>68</v>
      </c>
      <c r="AC56" t="s" s="125">
        <v>68</v>
      </c>
      <c r="AD56" t="s" s="125">
        <v>68</v>
      </c>
      <c r="AE56" t="s" s="125">
        <v>68</v>
      </c>
      <c r="AF56" t="s" s="125">
        <v>68</v>
      </c>
      <c r="AG56" t="s" s="125">
        <v>68</v>
      </c>
      <c r="AH56" t="s" s="125">
        <v>68</v>
      </c>
      <c r="AI56" t="s" s="125">
        <v>68</v>
      </c>
      <c r="AJ56" t="s" s="125">
        <v>68</v>
      </c>
      <c r="AK56" t="s" s="125">
        <v>68</v>
      </c>
      <c r="AL56" t="s" s="125">
        <v>68</v>
      </c>
      <c r="AM56" t="s" s="125">
        <v>68</v>
      </c>
      <c r="AN56" t="s" s="125">
        <v>68</v>
      </c>
      <c r="AO56" t="s" s="125">
        <v>68</v>
      </c>
      <c r="AP56" t="s" s="125">
        <v>68</v>
      </c>
      <c r="AQ56" t="s" s="125">
        <v>68</v>
      </c>
      <c r="AR56" t="s" s="125">
        <v>68</v>
      </c>
      <c r="AS56" t="s" s="125">
        <v>68</v>
      </c>
      <c r="AT56" t="s" s="125">
        <v>68</v>
      </c>
      <c r="AU56" t="s" s="125">
        <v>68</v>
      </c>
      <c r="AV56" t="s" s="125">
        <v>68</v>
      </c>
      <c r="AW56" t="s" s="125">
        <v>68</v>
      </c>
      <c r="AX56" t="s" s="125">
        <v>68</v>
      </c>
      <c r="AY56" t="s" s="125">
        <v>68</v>
      </c>
      <c r="AZ56" t="s" s="125">
        <v>68</v>
      </c>
      <c r="BA56" t="s" s="125">
        <v>68</v>
      </c>
      <c r="BB56" t="s" s="125">
        <v>68</v>
      </c>
    </row>
    <row r="57" spans="1:54">
      <c r="B57" s="145">
        <v>56</v>
      </c>
      <c r="C57" t="s" s="114">
        <v>711</v>
      </c>
      <c r="D57" t="s" s="38">
        <v>100</v>
      </c>
      <c r="E57" t="s" s="154">
        <v>68</v>
      </c>
      <c r="F57" t="s" s="154">
        <v>68</v>
      </c>
      <c r="G57" t="s" s="154">
        <v>68</v>
      </c>
      <c r="H57" t="s" s="154">
        <v>68</v>
      </c>
      <c r="I57" t="s" s="154">
        <v>68</v>
      </c>
      <c r="J57" t="s" s="154">
        <v>68</v>
      </c>
      <c r="K57" t="s" s="154">
        <v>68</v>
      </c>
      <c r="L57" t="s" s="154">
        <v>68</v>
      </c>
      <c r="M57" t="s" s="154">
        <v>68</v>
      </c>
      <c r="N57" t="s" s="154">
        <v>68</v>
      </c>
      <c r="O57" t="s" s="154">
        <v>68</v>
      </c>
      <c r="P57" t="s" s="154">
        <v>68</v>
      </c>
      <c r="Q57" t="s" s="154">
        <v>68</v>
      </c>
      <c r="R57" t="s" s="154">
        <v>68</v>
      </c>
      <c r="S57" t="s" s="154">
        <v>68</v>
      </c>
      <c r="T57" t="s" s="154">
        <v>68</v>
      </c>
      <c r="U57" t="s" s="154">
        <v>68</v>
      </c>
      <c r="V57" t="s" s="154">
        <v>68</v>
      </c>
      <c r="W57" t="s" s="154">
        <v>68</v>
      </c>
      <c r="X57" t="s" s="154">
        <v>68</v>
      </c>
      <c r="Y57" t="s" s="154">
        <v>68</v>
      </c>
      <c r="Z57" t="s" s="154">
        <v>68</v>
      </c>
      <c r="AA57" t="s" s="154">
        <v>68</v>
      </c>
      <c r="AB57" t="s" s="154">
        <v>68</v>
      </c>
      <c r="AC57" t="s" s="154">
        <v>68</v>
      </c>
      <c r="AD57" t="s" s="154">
        <v>68</v>
      </c>
      <c r="AE57" t="s" s="154">
        <v>68</v>
      </c>
      <c r="AF57" t="s" s="154">
        <v>68</v>
      </c>
      <c r="AG57" t="s" s="154">
        <v>68</v>
      </c>
      <c r="AH57" t="s" s="154">
        <v>68</v>
      </c>
      <c r="AI57" t="s" s="154">
        <v>68</v>
      </c>
      <c r="AJ57" t="s" s="154">
        <v>68</v>
      </c>
      <c r="AK57" t="s" s="154">
        <v>68</v>
      </c>
      <c r="AL57" t="s" s="154">
        <v>68</v>
      </c>
      <c r="AM57" t="s" s="154">
        <v>68</v>
      </c>
      <c r="AN57" t="s" s="154">
        <v>68</v>
      </c>
      <c r="AO57" t="s" s="154">
        <v>68</v>
      </c>
      <c r="AP57" t="s" s="154">
        <v>68</v>
      </c>
      <c r="AQ57" t="s" s="154">
        <v>68</v>
      </c>
      <c r="AR57" t="s" s="154">
        <v>68</v>
      </c>
      <c r="AS57" t="s" s="154">
        <v>68</v>
      </c>
      <c r="AT57" t="s" s="154">
        <v>68</v>
      </c>
      <c r="AU57" t="s" s="154">
        <v>68</v>
      </c>
      <c r="AV57" t="s" s="154">
        <v>68</v>
      </c>
      <c r="AW57" t="s" s="154">
        <v>68</v>
      </c>
      <c r="AX57" t="s" s="154">
        <v>68</v>
      </c>
      <c r="AY57" t="s" s="154">
        <v>68</v>
      </c>
      <c r="AZ57" t="s" s="154">
        <v>68</v>
      </c>
      <c r="BA57" t="s" s="154">
        <v>68</v>
      </c>
      <c r="BB57" t="s" s="154">
        <v>68</v>
      </c>
    </row>
    <row r="58" spans="1:54">
      <c r="B58" s="145">
        <v>57</v>
      </c>
      <c r="C58" t="s" s="114">
        <v>1830</v>
      </c>
      <c r="D58" t="s" s="38">
        <v>1111</v>
      </c>
      <c r="E58" t="s" s="154">
        <v>68</v>
      </c>
      <c r="F58" t="s" s="154">
        <v>68</v>
      </c>
      <c r="G58" t="s" s="154">
        <v>68</v>
      </c>
      <c r="H58" t="s" s="154">
        <v>68</v>
      </c>
      <c r="I58" t="s" s="154">
        <v>68</v>
      </c>
      <c r="J58" t="s" s="154">
        <v>68</v>
      </c>
      <c r="K58" t="s" s="154">
        <v>68</v>
      </c>
      <c r="L58" t="s" s="154">
        <v>68</v>
      </c>
      <c r="M58" t="s" s="154">
        <v>68</v>
      </c>
      <c r="N58" t="s" s="154">
        <v>68</v>
      </c>
      <c r="O58" t="s" s="154">
        <v>68</v>
      </c>
      <c r="P58" t="s" s="154">
        <v>68</v>
      </c>
      <c r="Q58" t="s" s="154">
        <v>68</v>
      </c>
      <c r="R58" t="s" s="154">
        <v>68</v>
      </c>
      <c r="S58" t="s" s="154">
        <v>68</v>
      </c>
      <c r="T58" t="s" s="154">
        <v>68</v>
      </c>
      <c r="U58" t="s" s="154">
        <v>68</v>
      </c>
      <c r="V58" t="s" s="154">
        <v>68</v>
      </c>
      <c r="W58" t="s" s="154">
        <v>68</v>
      </c>
      <c r="X58" t="s" s="154">
        <v>68</v>
      </c>
      <c r="Y58" t="s" s="154">
        <v>68</v>
      </c>
      <c r="Z58" t="s" s="154">
        <v>68</v>
      </c>
      <c r="AA58" t="s" s="154">
        <v>68</v>
      </c>
      <c r="AB58" t="s" s="154">
        <v>68</v>
      </c>
      <c r="AC58" t="s" s="154">
        <v>68</v>
      </c>
      <c r="AD58" t="s" s="154">
        <v>68</v>
      </c>
      <c r="AE58" t="s" s="154">
        <v>68</v>
      </c>
      <c r="AF58" t="s" s="154">
        <v>68</v>
      </c>
      <c r="AG58" t="s" s="154">
        <v>68</v>
      </c>
      <c r="AH58" t="s" s="154">
        <v>68</v>
      </c>
      <c r="AI58" t="s" s="154">
        <v>68</v>
      </c>
      <c r="AJ58" t="s" s="154">
        <v>68</v>
      </c>
      <c r="AK58" t="s" s="154">
        <v>68</v>
      </c>
      <c r="AL58" t="s" s="154">
        <v>68</v>
      </c>
      <c r="AM58" t="s" s="154">
        <v>68</v>
      </c>
      <c r="AN58" t="s" s="154">
        <v>68</v>
      </c>
      <c r="AO58" t="s" s="154">
        <v>68</v>
      </c>
      <c r="AP58" t="s" s="154">
        <v>68</v>
      </c>
      <c r="AQ58" t="s" s="154">
        <v>68</v>
      </c>
      <c r="AR58" t="s" s="154">
        <v>68</v>
      </c>
      <c r="AS58" t="s" s="154">
        <v>68</v>
      </c>
      <c r="AT58" t="s" s="154">
        <v>68</v>
      </c>
      <c r="AU58" t="s" s="154">
        <v>68</v>
      </c>
      <c r="AV58" t="s" s="154">
        <v>68</v>
      </c>
      <c r="AW58" t="s" s="154">
        <v>68</v>
      </c>
      <c r="AX58" t="s" s="154">
        <v>68</v>
      </c>
      <c r="AY58" t="s" s="154">
        <v>68</v>
      </c>
      <c r="AZ58" t="s" s="154">
        <v>68</v>
      </c>
      <c r="BA58" t="s" s="154">
        <v>68</v>
      </c>
      <c r="BB58" t="s" s="154">
        <v>68</v>
      </c>
    </row>
    <row r="59" spans="1:54" ht="24">
      <c r="B59" s="145">
        <v>58</v>
      </c>
      <c r="C59" t="s" s="114">
        <v>491</v>
      </c>
      <c r="D59" t="s" s="38">
        <v>1386</v>
      </c>
      <c r="E59" t="s" s="154">
        <v>68</v>
      </c>
      <c r="F59" t="s" s="154">
        <v>68</v>
      </c>
      <c r="G59" t="s" s="154">
        <v>68</v>
      </c>
      <c r="H59" t="s" s="154">
        <v>68</v>
      </c>
      <c r="I59" t="s" s="154">
        <v>68</v>
      </c>
      <c r="J59" t="s" s="154">
        <v>68</v>
      </c>
      <c r="K59" t="s" s="154">
        <v>68</v>
      </c>
      <c r="L59" t="s" s="154">
        <v>68</v>
      </c>
      <c r="M59" t="s" s="154">
        <v>68</v>
      </c>
      <c r="N59" t="s" s="154">
        <v>68</v>
      </c>
      <c r="O59" t="s" s="154">
        <v>68</v>
      </c>
      <c r="P59" t="s" s="154">
        <v>68</v>
      </c>
      <c r="Q59" t="s" s="154">
        <v>68</v>
      </c>
      <c r="R59" t="s" s="154">
        <v>68</v>
      </c>
      <c r="S59" t="s" s="154">
        <v>68</v>
      </c>
      <c r="T59" t="s" s="154">
        <v>68</v>
      </c>
      <c r="U59" t="s" s="154">
        <v>68</v>
      </c>
      <c r="V59" t="s" s="154">
        <v>68</v>
      </c>
      <c r="W59" t="s" s="154">
        <v>68</v>
      </c>
      <c r="X59" t="s" s="154">
        <v>68</v>
      </c>
      <c r="Y59" t="s" s="154">
        <v>68</v>
      </c>
      <c r="Z59" t="s" s="154">
        <v>68</v>
      </c>
      <c r="AA59" t="s" s="154">
        <v>68</v>
      </c>
      <c r="AB59" t="s" s="154">
        <v>68</v>
      </c>
      <c r="AC59" t="s" s="154">
        <v>68</v>
      </c>
      <c r="AD59" t="s" s="154">
        <v>68</v>
      </c>
      <c r="AE59" t="s" s="154">
        <v>68</v>
      </c>
      <c r="AF59" t="s" s="154">
        <v>68</v>
      </c>
      <c r="AG59" t="s" s="154">
        <v>68</v>
      </c>
      <c r="AH59" t="s" s="154">
        <v>68</v>
      </c>
      <c r="AI59" t="s" s="154">
        <v>68</v>
      </c>
      <c r="AJ59" t="s" s="154">
        <v>68</v>
      </c>
      <c r="AK59" t="s" s="154">
        <v>68</v>
      </c>
      <c r="AL59" t="s" s="154">
        <v>68</v>
      </c>
      <c r="AM59" t="s" s="154">
        <v>68</v>
      </c>
      <c r="AN59" t="s" s="154">
        <v>68</v>
      </c>
      <c r="AO59" t="s" s="154">
        <v>68</v>
      </c>
      <c r="AP59" t="s" s="154">
        <v>68</v>
      </c>
      <c r="AQ59" t="s" s="154">
        <v>68</v>
      </c>
      <c r="AR59" t="s" s="154">
        <v>68</v>
      </c>
      <c r="AS59" t="s" s="154">
        <v>68</v>
      </c>
      <c r="AT59" t="s" s="154">
        <v>68</v>
      </c>
      <c r="AU59" t="s" s="154">
        <v>68</v>
      </c>
      <c r="AV59" t="s" s="154">
        <v>68</v>
      </c>
      <c r="AW59" t="s" s="154">
        <v>68</v>
      </c>
      <c r="AX59" t="s" s="154">
        <v>68</v>
      </c>
      <c r="AY59" t="s" s="154">
        <v>68</v>
      </c>
      <c r="AZ59" t="s" s="154">
        <v>68</v>
      </c>
      <c r="BA59" t="s" s="154">
        <v>68</v>
      </c>
      <c r="BB59" t="s" s="154">
        <v>68</v>
      </c>
    </row>
    <row r="60" spans="1:54">
      <c r="B60" s="145">
        <v>59</v>
      </c>
      <c r="C60" t="s" s="114">
        <v>1425</v>
      </c>
      <c r="D60" t="s" s="38">
        <v>906</v>
      </c>
      <c r="E60" t="s" s="125">
        <v>68</v>
      </c>
      <c r="F60" t="s" s="125">
        <v>68</v>
      </c>
      <c r="G60" t="s" s="125">
        <v>68</v>
      </c>
      <c r="H60" t="s" s="125">
        <v>68</v>
      </c>
      <c r="I60" t="s" s="125">
        <v>68</v>
      </c>
      <c r="J60" t="s" s="125">
        <v>68</v>
      </c>
      <c r="K60" t="s" s="125">
        <v>68</v>
      </c>
      <c r="L60" t="s" s="125">
        <v>68</v>
      </c>
      <c r="M60" t="s" s="125">
        <v>68</v>
      </c>
      <c r="N60" t="s" s="125">
        <v>68</v>
      </c>
      <c r="O60" t="s" s="125">
        <v>68</v>
      </c>
      <c r="P60" t="s" s="125">
        <v>68</v>
      </c>
      <c r="Q60" t="s" s="125">
        <v>68</v>
      </c>
      <c r="R60" t="s" s="125">
        <v>68</v>
      </c>
      <c r="S60" t="s" s="125">
        <v>68</v>
      </c>
      <c r="T60" t="s" s="125">
        <v>68</v>
      </c>
      <c r="U60" t="s" s="125">
        <v>68</v>
      </c>
      <c r="V60" t="s" s="125">
        <v>68</v>
      </c>
      <c r="W60" t="s" s="125">
        <v>68</v>
      </c>
      <c r="X60" t="s" s="125">
        <v>68</v>
      </c>
      <c r="Y60" t="s" s="125">
        <v>68</v>
      </c>
      <c r="Z60" t="s" s="125">
        <v>68</v>
      </c>
      <c r="AA60" t="s" s="125">
        <v>68</v>
      </c>
      <c r="AB60" t="s" s="125">
        <v>68</v>
      </c>
      <c r="AC60" t="s" s="125">
        <v>68</v>
      </c>
      <c r="AD60" t="s" s="125">
        <v>68</v>
      </c>
      <c r="AE60" t="s" s="125">
        <v>68</v>
      </c>
      <c r="AF60" t="s" s="125">
        <v>68</v>
      </c>
      <c r="AG60" t="s" s="125">
        <v>68</v>
      </c>
      <c r="AH60" t="s" s="125">
        <v>68</v>
      </c>
      <c r="AI60" t="s" s="125">
        <v>68</v>
      </c>
      <c r="AJ60" t="s" s="125">
        <v>68</v>
      </c>
      <c r="AK60" t="s" s="125">
        <v>68</v>
      </c>
      <c r="AL60" t="s" s="125">
        <v>68</v>
      </c>
      <c r="AM60" t="s" s="125">
        <v>68</v>
      </c>
      <c r="AN60" t="s" s="125">
        <v>68</v>
      </c>
      <c r="AO60" t="s" s="125">
        <v>68</v>
      </c>
      <c r="AP60" t="s" s="125">
        <v>68</v>
      </c>
      <c r="AQ60" t="s" s="125">
        <v>68</v>
      </c>
      <c r="AR60" t="s" s="125">
        <v>68</v>
      </c>
      <c r="AS60" t="s" s="125">
        <v>68</v>
      </c>
      <c r="AT60" t="s" s="125">
        <v>68</v>
      </c>
      <c r="AU60" t="s" s="125">
        <v>68</v>
      </c>
      <c r="AV60" t="s" s="125">
        <v>68</v>
      </c>
      <c r="AW60" t="s" s="125">
        <v>68</v>
      </c>
      <c r="AX60" t="s" s="125">
        <v>68</v>
      </c>
      <c r="AY60" t="s" s="125">
        <v>68</v>
      </c>
      <c r="AZ60" t="s" s="125">
        <v>68</v>
      </c>
      <c r="BA60" t="s" s="125">
        <v>68</v>
      </c>
      <c r="BB60" t="s" s="125">
        <v>68</v>
      </c>
    </row>
    <row r="61" spans="1:54">
      <c r="B61" s="145">
        <v>60</v>
      </c>
      <c r="C61" t="s" s="114">
        <v>57</v>
      </c>
      <c r="D61" t="s" s="38">
        <v>1483</v>
      </c>
      <c r="E61" t="s" s="154">
        <v>68</v>
      </c>
      <c r="F61" t="s" s="154">
        <v>68</v>
      </c>
      <c r="G61" t="s" s="154">
        <v>68</v>
      </c>
      <c r="H61" t="s" s="154">
        <v>68</v>
      </c>
      <c r="I61" t="s" s="154">
        <v>68</v>
      </c>
      <c r="J61" t="s" s="154">
        <v>68</v>
      </c>
      <c r="K61" t="s" s="154">
        <v>68</v>
      </c>
      <c r="L61" t="s" s="154">
        <v>68</v>
      </c>
      <c r="M61" t="s" s="154">
        <v>68</v>
      </c>
      <c r="N61" t="s" s="154">
        <v>68</v>
      </c>
      <c r="O61" t="s" s="154">
        <v>68</v>
      </c>
      <c r="P61" t="s" s="154">
        <v>68</v>
      </c>
      <c r="Q61" t="s" s="154">
        <v>68</v>
      </c>
      <c r="R61" t="s" s="154">
        <v>68</v>
      </c>
      <c r="S61" t="s" s="154">
        <v>68</v>
      </c>
      <c r="T61" t="s" s="154">
        <v>68</v>
      </c>
      <c r="U61" t="s" s="154">
        <v>68</v>
      </c>
      <c r="V61" t="s" s="154">
        <v>68</v>
      </c>
      <c r="W61" t="s" s="154">
        <v>68</v>
      </c>
      <c r="X61" t="s" s="154">
        <v>68</v>
      </c>
      <c r="Y61" t="s" s="154">
        <v>68</v>
      </c>
      <c r="Z61" t="s" s="154">
        <v>68</v>
      </c>
      <c r="AA61" t="s" s="154">
        <v>68</v>
      </c>
      <c r="AB61" t="s" s="154">
        <v>68</v>
      </c>
      <c r="AC61" t="s" s="154">
        <v>68</v>
      </c>
      <c r="AD61" t="s" s="154">
        <v>68</v>
      </c>
      <c r="AE61" t="s" s="154">
        <v>68</v>
      </c>
      <c r="AF61" t="s" s="154">
        <v>68</v>
      </c>
      <c r="AG61" t="s" s="154">
        <v>68</v>
      </c>
      <c r="AH61" t="s" s="154">
        <v>68</v>
      </c>
      <c r="AI61" t="s" s="154">
        <v>68</v>
      </c>
      <c r="AJ61" t="s" s="154">
        <v>68</v>
      </c>
      <c r="AK61" t="s" s="154">
        <v>68</v>
      </c>
      <c r="AL61" t="s" s="154">
        <v>68</v>
      </c>
      <c r="AM61" t="s" s="154">
        <v>68</v>
      </c>
      <c r="AN61" t="s" s="154">
        <v>68</v>
      </c>
      <c r="AO61" t="s" s="154">
        <v>68</v>
      </c>
      <c r="AP61" t="s" s="154">
        <v>68</v>
      </c>
      <c r="AQ61" t="s" s="154">
        <v>68</v>
      </c>
      <c r="AR61" t="s" s="154">
        <v>68</v>
      </c>
      <c r="AS61" t="s" s="154">
        <v>68</v>
      </c>
      <c r="AT61" t="s" s="154">
        <v>68</v>
      </c>
      <c r="AU61" t="s" s="154">
        <v>68</v>
      </c>
      <c r="AV61" t="s" s="154">
        <v>68</v>
      </c>
      <c r="AW61" t="s" s="154">
        <v>68</v>
      </c>
      <c r="AX61" t="s" s="154">
        <v>68</v>
      </c>
      <c r="AY61" t="s" s="154">
        <v>68</v>
      </c>
      <c r="AZ61" t="s" s="154">
        <v>68</v>
      </c>
      <c r="BA61" t="s" s="154">
        <v>68</v>
      </c>
      <c r="BB61" t="s" s="154">
        <v>68</v>
      </c>
    </row>
    <row r="62" spans="1:54">
      <c r="B62" s="145">
        <v>61</v>
      </c>
      <c r="C62" t="s" s="114">
        <v>260</v>
      </c>
      <c r="D62" t="s" s="38">
        <v>1387</v>
      </c>
      <c r="E62" t="s" s="154">
        <v>68</v>
      </c>
      <c r="F62" t="s" s="154">
        <v>68</v>
      </c>
      <c r="G62" t="s" s="154">
        <v>68</v>
      </c>
      <c r="H62" t="s" s="154">
        <v>68</v>
      </c>
      <c r="I62" t="s" s="154">
        <v>68</v>
      </c>
      <c r="J62" t="s" s="154">
        <v>68</v>
      </c>
      <c r="K62" t="s" s="154">
        <v>68</v>
      </c>
      <c r="L62" t="s" s="154">
        <v>68</v>
      </c>
      <c r="M62" t="s" s="154">
        <v>68</v>
      </c>
      <c r="N62" t="s" s="154">
        <v>68</v>
      </c>
      <c r="O62" t="s" s="154">
        <v>68</v>
      </c>
      <c r="P62" t="s" s="154">
        <v>68</v>
      </c>
      <c r="Q62" t="s" s="154">
        <v>68</v>
      </c>
      <c r="R62" t="s" s="154">
        <v>68</v>
      </c>
      <c r="S62" t="s" s="154">
        <v>68</v>
      </c>
      <c r="T62" t="s" s="154">
        <v>68</v>
      </c>
      <c r="U62" t="s" s="154">
        <v>68</v>
      </c>
      <c r="V62" t="s" s="154">
        <v>68</v>
      </c>
      <c r="W62" t="s" s="154">
        <v>68</v>
      </c>
      <c r="X62" t="s" s="154">
        <v>68</v>
      </c>
      <c r="Y62" t="s" s="154">
        <v>68</v>
      </c>
      <c r="Z62" t="s" s="154">
        <v>68</v>
      </c>
      <c r="AA62" t="s" s="154">
        <v>68</v>
      </c>
      <c r="AB62" t="s" s="154">
        <v>68</v>
      </c>
      <c r="AC62" t="s" s="154">
        <v>68</v>
      </c>
      <c r="AD62" t="s" s="154">
        <v>68</v>
      </c>
      <c r="AE62" t="s" s="154">
        <v>68</v>
      </c>
      <c r="AF62" t="s" s="154">
        <v>68</v>
      </c>
      <c r="AG62" t="s" s="154">
        <v>68</v>
      </c>
      <c r="AH62" t="s" s="154">
        <v>68</v>
      </c>
      <c r="AI62" t="s" s="154">
        <v>68</v>
      </c>
      <c r="AJ62" t="s" s="154">
        <v>68</v>
      </c>
      <c r="AK62" t="s" s="154">
        <v>68</v>
      </c>
      <c r="AL62" t="s" s="154">
        <v>68</v>
      </c>
      <c r="AM62" t="s" s="154">
        <v>68</v>
      </c>
      <c r="AN62" t="s" s="154">
        <v>68</v>
      </c>
      <c r="AO62" t="s" s="154">
        <v>68</v>
      </c>
      <c r="AP62" t="s" s="154">
        <v>68</v>
      </c>
      <c r="AQ62" t="s" s="154">
        <v>68</v>
      </c>
      <c r="AR62" t="s" s="154">
        <v>68</v>
      </c>
      <c r="AS62" t="s" s="154">
        <v>68</v>
      </c>
      <c r="AT62" t="s" s="154">
        <v>68</v>
      </c>
      <c r="AU62" t="s" s="154">
        <v>68</v>
      </c>
      <c r="AV62" t="s" s="154">
        <v>68</v>
      </c>
      <c r="AW62" t="s" s="154">
        <v>68</v>
      </c>
      <c r="AX62" t="s" s="154">
        <v>68</v>
      </c>
      <c r="AY62" t="s" s="154">
        <v>68</v>
      </c>
      <c r="AZ62" t="s" s="154">
        <v>68</v>
      </c>
      <c r="BA62" t="s" s="154">
        <v>68</v>
      </c>
      <c r="BB62" t="s" s="154">
        <v>68</v>
      </c>
    </row>
    <row r="63" spans="1:54" ht="36">
      <c r="A63" t="s" s="157">
        <v>1548</v>
      </c>
      <c r="B63" s="145">
        <v>62</v>
      </c>
      <c r="C63" t="s" s="114">
        <v>51</v>
      </c>
      <c r="D63" t="s" s="219">
        <v>317</v>
      </c>
      <c r="E63" t="s" s="32">
        <v>68</v>
      </c>
      <c r="F63" t="s" s="32">
        <v>68</v>
      </c>
      <c r="G63" t="s" s="32">
        <v>68</v>
      </c>
      <c r="H63" t="s" s="32">
        <v>68</v>
      </c>
      <c r="I63" t="s" s="32">
        <v>68</v>
      </c>
      <c r="J63" t="s" s="32">
        <v>68</v>
      </c>
      <c r="K63" t="s" s="32">
        <v>68</v>
      </c>
      <c r="L63" t="s" s="32">
        <v>68</v>
      </c>
      <c r="M63" t="s" s="32">
        <v>68</v>
      </c>
      <c r="N63" t="s" s="32">
        <v>68</v>
      </c>
      <c r="O63" t="s" s="32">
        <v>68</v>
      </c>
      <c r="P63" t="s" s="32">
        <v>68</v>
      </c>
      <c r="Q63" t="s" s="32">
        <v>68</v>
      </c>
      <c r="R63" t="s" s="32">
        <v>68</v>
      </c>
      <c r="S63" t="s" s="32">
        <v>68</v>
      </c>
      <c r="T63" t="s" s="32">
        <v>68</v>
      </c>
      <c r="U63" t="s" s="32">
        <v>68</v>
      </c>
      <c r="V63" t="s" s="32">
        <v>68</v>
      </c>
      <c r="W63" t="s" s="32">
        <v>68</v>
      </c>
      <c r="X63" t="s" s="32">
        <v>68</v>
      </c>
      <c r="Y63" t="s" s="32">
        <v>68</v>
      </c>
      <c r="Z63" t="s" s="32">
        <v>68</v>
      </c>
      <c r="AA63" t="s" s="32">
        <v>68</v>
      </c>
      <c r="AB63" t="s" s="32">
        <v>68</v>
      </c>
      <c r="AC63" t="s" s="32">
        <v>68</v>
      </c>
      <c r="AD63" t="s" s="32">
        <v>68</v>
      </c>
      <c r="AE63" t="s" s="32">
        <v>68</v>
      </c>
      <c r="AF63" t="s" s="32">
        <v>68</v>
      </c>
      <c r="AG63" t="s" s="32">
        <v>68</v>
      </c>
      <c r="AH63" t="s" s="32">
        <v>68</v>
      </c>
      <c r="AI63" t="s" s="32">
        <v>68</v>
      </c>
      <c r="AJ63" t="s" s="32">
        <v>68</v>
      </c>
      <c r="AK63" t="s" s="32">
        <v>68</v>
      </c>
      <c r="AL63" t="s" s="32">
        <v>68</v>
      </c>
      <c r="AM63" t="s" s="32">
        <v>68</v>
      </c>
      <c r="AN63" t="s" s="32">
        <v>68</v>
      </c>
      <c r="AO63" t="s" s="32">
        <v>68</v>
      </c>
      <c r="AP63" t="s" s="32">
        <v>68</v>
      </c>
      <c r="AQ63" t="s" s="32">
        <v>68</v>
      </c>
      <c r="AR63" t="s" s="32">
        <v>68</v>
      </c>
      <c r="AS63" t="s" s="32">
        <v>68</v>
      </c>
      <c r="AT63" t="s" s="32">
        <v>68</v>
      </c>
      <c r="AU63" t="s" s="32">
        <v>68</v>
      </c>
      <c r="AV63" t="s" s="32">
        <v>68</v>
      </c>
      <c r="AW63" t="s" s="32">
        <v>68</v>
      </c>
      <c r="AX63" t="s" s="32">
        <v>68</v>
      </c>
      <c r="AY63" t="s" s="32">
        <v>68</v>
      </c>
      <c r="AZ63" t="s" s="32">
        <v>68</v>
      </c>
      <c r="BA63" t="s" s="32">
        <v>68</v>
      </c>
      <c r="BB63" t="s" s="32">
        <v>68</v>
      </c>
    </row>
    <row r="64" spans="1:54" ht="48">
      <c r="A64" t="s" s="157">
        <v>1548</v>
      </c>
      <c r="B64" s="145">
        <v>63</v>
      </c>
      <c r="C64" t="s" s="114">
        <v>1817</v>
      </c>
      <c r="D64" t="s" s="219">
        <v>1860</v>
      </c>
      <c r="E64" t="s" s="32">
        <v>68</v>
      </c>
      <c r="F64" t="s" s="32">
        <v>68</v>
      </c>
      <c r="G64" t="s" s="32">
        <v>68</v>
      </c>
      <c r="H64" t="s" s="32">
        <v>68</v>
      </c>
      <c r="I64" t="s" s="32">
        <v>68</v>
      </c>
      <c r="J64" t="s" s="32">
        <v>68</v>
      </c>
      <c r="K64" t="s" s="32">
        <v>68</v>
      </c>
      <c r="L64" t="s" s="32">
        <v>68</v>
      </c>
      <c r="M64" t="s" s="32">
        <v>68</v>
      </c>
      <c r="N64" t="s" s="32">
        <v>68</v>
      </c>
      <c r="O64" t="s" s="32">
        <v>68</v>
      </c>
      <c r="P64" t="s" s="32">
        <v>68</v>
      </c>
      <c r="Q64" t="s" s="32">
        <v>68</v>
      </c>
      <c r="R64" t="s" s="32">
        <v>68</v>
      </c>
      <c r="S64" t="s" s="32">
        <v>68</v>
      </c>
      <c r="T64" t="s" s="32">
        <v>68</v>
      </c>
      <c r="U64" t="s" s="32">
        <v>68</v>
      </c>
      <c r="V64" t="s" s="32">
        <v>68</v>
      </c>
      <c r="W64" t="s" s="32">
        <v>68</v>
      </c>
      <c r="X64" t="s" s="32">
        <v>68</v>
      </c>
      <c r="Y64" t="s" s="32">
        <v>68</v>
      </c>
      <c r="Z64" t="s" s="32">
        <v>68</v>
      </c>
      <c r="AA64" t="s" s="32">
        <v>68</v>
      </c>
      <c r="AB64" t="s" s="32">
        <v>68</v>
      </c>
      <c r="AC64" t="s" s="32">
        <v>68</v>
      </c>
      <c r="AD64" t="s" s="32">
        <v>68</v>
      </c>
      <c r="AE64" t="s" s="32">
        <v>68</v>
      </c>
      <c r="AF64" t="s" s="32">
        <v>68</v>
      </c>
      <c r="AG64" t="s" s="32">
        <v>68</v>
      </c>
      <c r="AH64" t="s" s="32">
        <v>68</v>
      </c>
      <c r="AI64" t="s" s="32">
        <v>68</v>
      </c>
      <c r="AJ64" t="s" s="32">
        <v>68</v>
      </c>
      <c r="AK64" t="s" s="32">
        <v>68</v>
      </c>
      <c r="AL64" t="s" s="32">
        <v>68</v>
      </c>
      <c r="AM64" t="s" s="32">
        <v>68</v>
      </c>
      <c r="AN64" t="s" s="32">
        <v>68</v>
      </c>
      <c r="AO64" t="s" s="32">
        <v>68</v>
      </c>
      <c r="AP64" t="s" s="32">
        <v>68</v>
      </c>
      <c r="AQ64" t="s" s="32">
        <v>68</v>
      </c>
      <c r="AR64" t="s" s="32">
        <v>68</v>
      </c>
      <c r="AS64" t="s" s="32">
        <v>68</v>
      </c>
      <c r="AT64" t="s" s="32">
        <v>68</v>
      </c>
      <c r="AU64" t="s" s="32">
        <v>68</v>
      </c>
      <c r="AV64" t="s" s="32">
        <v>68</v>
      </c>
      <c r="AW64" t="s" s="32">
        <v>68</v>
      </c>
      <c r="AX64" t="s" s="32">
        <v>68</v>
      </c>
      <c r="AY64" t="s" s="32">
        <v>68</v>
      </c>
      <c r="AZ64" t="s" s="32">
        <v>68</v>
      </c>
      <c r="BA64" t="s" s="32">
        <v>68</v>
      </c>
      <c r="BB64" t="s" s="32">
        <v>68</v>
      </c>
    </row>
    <row r="65" spans="1:54" ht="84">
      <c r="A65" t="s" s="157">
        <v>1833</v>
      </c>
      <c r="B65" s="145">
        <v>64</v>
      </c>
      <c r="C65" t="s" s="114">
        <v>1532</v>
      </c>
      <c r="D65" t="s" s="219">
        <v>1934</v>
      </c>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15"/>
      <c r="AJ65" s="15"/>
      <c r="AK65" s="15"/>
      <c r="AL65" s="15"/>
      <c r="AM65" s="15"/>
      <c r="AN65" s="15"/>
      <c r="AO65" s="15"/>
      <c r="AP65" s="15"/>
      <c r="AQ65" s="15"/>
      <c r="AR65" s="15"/>
      <c r="AS65" s="15"/>
      <c r="AT65" s="15"/>
      <c r="AU65" s="15"/>
      <c r="AV65" s="15"/>
      <c r="AW65" s="15"/>
      <c r="AX65" s="15"/>
      <c r="AY65" s="15"/>
      <c r="AZ65" s="15"/>
      <c r="BA65" s="15"/>
      <c r="BB65" s="15"/>
    </row>
    <row r="66" spans="1:54">
      <c r="A66" t="s" s="157">
        <v>1833</v>
      </c>
      <c r="B66" s="145">
        <v>65</v>
      </c>
      <c r="C66" t="s" s="114">
        <v>815</v>
      </c>
      <c r="D66" t="s" s="219">
        <v>1171</v>
      </c>
      <c r="E66" s="32"/>
      <c r="F66" s="32"/>
      <c r="G66" s="32"/>
      <c r="H66" s="32"/>
      <c r="I66" s="32"/>
      <c r="J66" s="32"/>
      <c r="K66" s="32"/>
      <c r="L66" s="32"/>
      <c r="M66" s="32"/>
      <c r="N66" s="32"/>
      <c r="O66" s="32"/>
      <c r="P66" s="32"/>
      <c r="Q66" s="32"/>
      <c r="R66" s="32"/>
      <c r="S66" s="32"/>
      <c r="T66" s="32"/>
      <c r="U66" s="32"/>
      <c r="V66" s="32"/>
      <c r="W66" s="32"/>
      <c r="X66" s="32"/>
      <c r="Y66" s="32"/>
      <c r="Z66" s="32"/>
      <c r="AA66" s="32"/>
      <c r="AB66" s="32"/>
      <c r="AC66" s="32"/>
      <c r="AD66" s="32"/>
      <c r="AE66" s="32"/>
      <c r="AF66" s="32"/>
      <c r="AG66" s="32"/>
      <c r="AH66" s="32"/>
      <c r="AI66" s="32"/>
      <c r="AJ66" s="32"/>
      <c r="AK66" s="32"/>
      <c r="AL66" s="32"/>
      <c r="AM66" s="32"/>
      <c r="AN66" s="32"/>
      <c r="AO66" s="32"/>
      <c r="AP66" s="32"/>
      <c r="AQ66" s="32"/>
      <c r="AR66" s="32"/>
      <c r="AS66" s="32"/>
      <c r="AT66" s="32"/>
      <c r="AU66" s="32"/>
      <c r="AV66" s="32"/>
      <c r="AW66" s="32"/>
      <c r="AX66" s="32"/>
      <c r="AY66" s="32"/>
      <c r="AZ66" s="32"/>
      <c r="BA66" s="32"/>
      <c r="BB66" s="32"/>
    </row>
    <row r="67" spans="1:54" ht="36">
      <c r="A67" t="s" s="157">
        <v>1833</v>
      </c>
      <c r="B67" s="145">
        <v>66</v>
      </c>
      <c r="C67" t="s" s="114">
        <v>1011</v>
      </c>
      <c r="D67" t="s" s="38">
        <v>1935</v>
      </c>
      <c r="E67" s="135"/>
      <c r="F67" s="135"/>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c r="AD67" s="135"/>
      <c r="AE67" s="135"/>
      <c r="AF67" s="135"/>
      <c r="AG67" s="135"/>
      <c r="AH67" s="135"/>
      <c r="AI67" s="135"/>
      <c r="AJ67" s="135"/>
      <c r="AK67" s="135"/>
      <c r="AL67" s="135"/>
      <c r="AM67" s="135"/>
      <c r="AN67" s="135"/>
      <c r="AO67" s="135"/>
      <c r="AP67" s="135"/>
      <c r="AQ67" s="135"/>
      <c r="AR67" s="135"/>
      <c r="AS67" s="135"/>
      <c r="AT67" s="135"/>
      <c r="AU67" s="135"/>
      <c r="AV67" s="135"/>
      <c r="AW67" s="135"/>
      <c r="AX67" s="135"/>
      <c r="AY67" s="135"/>
      <c r="AZ67" s="135"/>
      <c r="BA67" s="135"/>
      <c r="BB67" s="135"/>
    </row>
    <row r="68" spans="1:54" ht="24">
      <c r="A68" t="s" s="157">
        <v>1833</v>
      </c>
      <c r="B68" s="145">
        <v>67</v>
      </c>
      <c r="C68" t="s" s="114">
        <v>1309</v>
      </c>
      <c r="D68" t="s" s="38">
        <v>684</v>
      </c>
      <c r="E68" s="32"/>
      <c r="F68" s="32"/>
      <c r="G68" s="32"/>
      <c r="H68" s="32"/>
      <c r="I68" s="32"/>
      <c r="J68" s="32"/>
      <c r="K68" s="32"/>
      <c r="L68" s="32"/>
      <c r="M68" s="32"/>
      <c r="N68" s="32"/>
      <c r="O68" s="32"/>
      <c r="P68" s="32"/>
      <c r="Q68" s="32"/>
      <c r="R68" s="32"/>
      <c r="S68" s="32"/>
      <c r="T68" s="32"/>
      <c r="U68" s="32"/>
      <c r="V68" s="32"/>
      <c r="W68" s="32"/>
      <c r="X68" s="32"/>
      <c r="Y68" s="32"/>
      <c r="Z68" s="32"/>
      <c r="AA68" s="32"/>
      <c r="AB68" s="32"/>
      <c r="AC68" s="32"/>
      <c r="AD68" s="32"/>
      <c r="AE68" s="32"/>
      <c r="AF68" s="32"/>
      <c r="AG68" s="32"/>
      <c r="AH68" s="32"/>
      <c r="AI68" s="32"/>
      <c r="AJ68" s="32"/>
      <c r="AK68" s="32"/>
      <c r="AL68" s="32"/>
      <c r="AM68" s="32"/>
      <c r="AN68" s="32"/>
      <c r="AO68" s="32"/>
      <c r="AP68" s="32"/>
      <c r="AQ68" s="32"/>
      <c r="AR68" s="32"/>
      <c r="AS68" s="32"/>
      <c r="AT68" s="32"/>
      <c r="AU68" s="32"/>
      <c r="AV68" s="32"/>
      <c r="AW68" s="32"/>
      <c r="AX68" s="32"/>
      <c r="AY68" s="32"/>
      <c r="AZ68" s="32"/>
      <c r="BA68" s="32"/>
      <c r="BB68" s="32"/>
    </row>
    <row r="69" spans="1:54" ht="24">
      <c r="A69" t="s" s="157">
        <v>1833</v>
      </c>
      <c r="B69" s="145">
        <v>68</v>
      </c>
      <c r="C69" t="s" s="114">
        <v>225</v>
      </c>
      <c r="D69" t="s" s="38">
        <v>534</v>
      </c>
      <c r="E69" s="32"/>
      <c r="F69" s="32"/>
      <c r="G69" s="32"/>
      <c r="H69" s="32"/>
      <c r="I69" s="32"/>
      <c r="J69" s="32"/>
      <c r="K69" s="32"/>
      <c r="L69" s="32"/>
      <c r="M69" s="32"/>
      <c r="N69" s="32"/>
      <c r="O69" s="32"/>
      <c r="P69" s="32"/>
      <c r="Q69" s="32"/>
      <c r="R69" s="32"/>
      <c r="S69" s="32"/>
      <c r="T69" s="32"/>
      <c r="U69" s="32"/>
      <c r="V69" s="32"/>
      <c r="W69" s="32"/>
      <c r="X69" s="32"/>
      <c r="Y69" s="32"/>
      <c r="Z69" s="32"/>
      <c r="AA69" s="32"/>
      <c r="AB69" s="32"/>
      <c r="AC69" s="32"/>
      <c r="AD69" s="32"/>
      <c r="AE69" s="32"/>
      <c r="AF69" s="32"/>
      <c r="AG69" s="32"/>
      <c r="AH69" s="32"/>
      <c r="AI69" s="32"/>
      <c r="AJ69" s="32"/>
      <c r="AK69" s="32"/>
      <c r="AL69" s="32"/>
      <c r="AM69" s="32"/>
      <c r="AN69" s="32"/>
      <c r="AO69" s="32"/>
      <c r="AP69" s="32"/>
      <c r="AQ69" s="32"/>
      <c r="AR69" s="32"/>
      <c r="AS69" s="32"/>
      <c r="AT69" s="32"/>
      <c r="AU69" s="32"/>
      <c r="AV69" s="32"/>
      <c r="AW69" s="32"/>
      <c r="AX69" s="32"/>
      <c r="AY69" s="32"/>
      <c r="AZ69" s="32"/>
      <c r="BA69" s="32"/>
      <c r="BB69" s="32"/>
    </row>
    <row r="70" spans="1:54" ht="24">
      <c r="B70" s="145">
        <v>69</v>
      </c>
      <c r="C70" t="s" s="114">
        <v>768</v>
      </c>
      <c r="D70" t="s" s="38">
        <v>209</v>
      </c>
      <c r="E70" t="s" s="32">
        <v>68</v>
      </c>
      <c r="F70" t="s" s="32">
        <v>68</v>
      </c>
      <c r="G70" t="s" s="32">
        <v>68</v>
      </c>
      <c r="H70" t="s" s="32">
        <v>68</v>
      </c>
      <c r="I70" t="s" s="32">
        <v>68</v>
      </c>
      <c r="J70" t="s" s="32">
        <v>68</v>
      </c>
      <c r="K70" t="s" s="32">
        <v>68</v>
      </c>
      <c r="L70" t="s" s="32">
        <v>68</v>
      </c>
      <c r="M70" t="s" s="32">
        <v>68</v>
      </c>
      <c r="N70" t="s" s="32">
        <v>68</v>
      </c>
      <c r="O70" t="s" s="32">
        <v>68</v>
      </c>
      <c r="P70" t="s" s="32">
        <v>68</v>
      </c>
      <c r="Q70" t="s" s="32">
        <v>68</v>
      </c>
      <c r="R70" t="s" s="32">
        <v>68</v>
      </c>
      <c r="S70" t="s" s="32">
        <v>68</v>
      </c>
      <c r="T70" t="s" s="32">
        <v>68</v>
      </c>
      <c r="U70" t="s" s="32">
        <v>68</v>
      </c>
      <c r="V70" t="s" s="32">
        <v>68</v>
      </c>
      <c r="W70" t="s" s="32">
        <v>68</v>
      </c>
      <c r="X70" t="s" s="32">
        <v>68</v>
      </c>
      <c r="Y70" t="s" s="32">
        <v>68</v>
      </c>
      <c r="Z70" t="s" s="32">
        <v>68</v>
      </c>
      <c r="AA70" t="s" s="32">
        <v>68</v>
      </c>
      <c r="AB70" t="s" s="32">
        <v>68</v>
      </c>
      <c r="AC70" t="s" s="32">
        <v>68</v>
      </c>
      <c r="AD70" t="s" s="32">
        <v>68</v>
      </c>
      <c r="AE70" t="s" s="32">
        <v>68</v>
      </c>
      <c r="AF70" t="s" s="32">
        <v>68</v>
      </c>
      <c r="AG70" t="s" s="32">
        <v>68</v>
      </c>
      <c r="AH70" t="s" s="32">
        <v>68</v>
      </c>
      <c r="AI70" t="s" s="32">
        <v>68</v>
      </c>
      <c r="AJ70" t="s" s="32">
        <v>68</v>
      </c>
      <c r="AK70" t="s" s="32">
        <v>68</v>
      </c>
      <c r="AL70" t="s" s="32">
        <v>68</v>
      </c>
      <c r="AM70" t="s" s="32">
        <v>68</v>
      </c>
      <c r="AN70" t="s" s="32">
        <v>68</v>
      </c>
      <c r="AO70" t="s" s="32">
        <v>68</v>
      </c>
      <c r="AP70" t="s" s="32">
        <v>68</v>
      </c>
      <c r="AQ70" t="s" s="32">
        <v>68</v>
      </c>
      <c r="AR70" t="s" s="32">
        <v>68</v>
      </c>
      <c r="AS70" t="s" s="32">
        <v>68</v>
      </c>
      <c r="AT70" t="s" s="32">
        <v>68</v>
      </c>
      <c r="AU70" t="s" s="32">
        <v>68</v>
      </c>
      <c r="AV70" t="s" s="32">
        <v>68</v>
      </c>
      <c r="AW70" t="s" s="32">
        <v>68</v>
      </c>
      <c r="AX70" t="s" s="32">
        <v>68</v>
      </c>
      <c r="AY70" t="s" s="32">
        <v>68</v>
      </c>
      <c r="AZ70" t="s" s="32">
        <v>68</v>
      </c>
      <c r="BA70" t="s" s="32">
        <v>68</v>
      </c>
      <c r="BB70" t="s" s="32">
        <v>68</v>
      </c>
    </row>
    <row r="71" spans="1:54" ht="24">
      <c r="A71" t="s" s="157">
        <v>1833</v>
      </c>
      <c r="B71" s="145">
        <v>70</v>
      </c>
      <c r="C71" t="s" s="114">
        <v>1528</v>
      </c>
      <c r="D71" t="s" s="38">
        <v>1847</v>
      </c>
      <c r="E71" s="213"/>
      <c r="F71" s="213"/>
      <c r="G71" s="213"/>
      <c r="H71" s="213"/>
      <c r="I71" s="213"/>
      <c r="J71" s="213"/>
      <c r="K71" s="213"/>
      <c r="L71" s="213"/>
      <c r="M71" s="213"/>
      <c r="N71" s="213"/>
      <c r="O71" s="213"/>
      <c r="P71" s="213"/>
      <c r="Q71" s="213"/>
      <c r="R71" s="213"/>
      <c r="S71" s="213"/>
      <c r="T71" s="213"/>
      <c r="U71" s="213"/>
      <c r="V71" s="213"/>
      <c r="W71" s="213"/>
      <c r="X71" s="213"/>
      <c r="Y71" s="213"/>
      <c r="Z71" s="213"/>
      <c r="AA71" s="213"/>
      <c r="AB71" s="213"/>
      <c r="AC71" s="213"/>
      <c r="AD71" s="213"/>
      <c r="AE71" s="213"/>
      <c r="AF71" s="213"/>
      <c r="AG71" s="213"/>
      <c r="AH71" s="213"/>
      <c r="AI71" s="213"/>
      <c r="AJ71" s="213"/>
      <c r="AK71" s="213"/>
      <c r="AL71" s="213"/>
      <c r="AM71" s="213"/>
      <c r="AN71" s="213"/>
      <c r="AO71" s="213"/>
      <c r="AP71" s="213"/>
      <c r="AQ71" s="213"/>
      <c r="AR71" s="213"/>
      <c r="AS71" s="213"/>
      <c r="AT71" s="213"/>
      <c r="AU71" s="213"/>
      <c r="AV71" s="213"/>
      <c r="AW71" s="213"/>
      <c r="AX71" s="213"/>
      <c r="AY71" s="213"/>
      <c r="AZ71" s="213"/>
      <c r="BA71" s="213"/>
      <c r="BB71" s="213"/>
    </row>
    <row r="72" spans="1:54" ht="36">
      <c r="A72" t="s" s="157">
        <v>1548</v>
      </c>
      <c r="B72" s="145">
        <v>71</v>
      </c>
      <c r="C72" t="s" s="114">
        <v>359</v>
      </c>
      <c r="D72" t="s" s="219">
        <v>1941</v>
      </c>
      <c r="E72" t="s" s="32">
        <v>68</v>
      </c>
      <c r="F72" t="s" s="32">
        <v>68</v>
      </c>
      <c r="G72" t="s" s="32">
        <v>68</v>
      </c>
      <c r="H72" t="s" s="32">
        <v>68</v>
      </c>
      <c r="I72" t="s" s="32">
        <v>68</v>
      </c>
      <c r="J72" t="s" s="32">
        <v>68</v>
      </c>
      <c r="K72" t="s" s="32">
        <v>68</v>
      </c>
      <c r="L72" t="s" s="32">
        <v>68</v>
      </c>
      <c r="M72" t="s" s="32">
        <v>68</v>
      </c>
      <c r="N72" t="s" s="32">
        <v>68</v>
      </c>
      <c r="O72" t="s" s="32">
        <v>68</v>
      </c>
      <c r="P72" t="s" s="32">
        <v>68</v>
      </c>
      <c r="Q72" t="s" s="32">
        <v>68</v>
      </c>
      <c r="R72" t="s" s="32">
        <v>68</v>
      </c>
      <c r="S72" t="s" s="32">
        <v>68</v>
      </c>
      <c r="T72" t="s" s="32">
        <v>68</v>
      </c>
      <c r="U72" t="s" s="32">
        <v>68</v>
      </c>
      <c r="V72" t="s" s="32">
        <v>68</v>
      </c>
      <c r="W72" t="s" s="32">
        <v>68</v>
      </c>
      <c r="X72" t="s" s="32">
        <v>68</v>
      </c>
      <c r="Y72" t="s" s="32">
        <v>68</v>
      </c>
      <c r="Z72" t="s" s="32">
        <v>68</v>
      </c>
      <c r="AA72" t="s" s="32">
        <v>68</v>
      </c>
      <c r="AB72" t="s" s="32">
        <v>68</v>
      </c>
      <c r="AC72" t="s" s="32">
        <v>68</v>
      </c>
      <c r="AD72" t="s" s="32">
        <v>68</v>
      </c>
      <c r="AE72" t="s" s="32">
        <v>68</v>
      </c>
      <c r="AF72" t="s" s="32">
        <v>68</v>
      </c>
      <c r="AG72" t="s" s="32">
        <v>68</v>
      </c>
      <c r="AH72" t="s" s="32">
        <v>68</v>
      </c>
      <c r="AI72" t="s" s="32">
        <v>68</v>
      </c>
      <c r="AJ72" t="s" s="32">
        <v>68</v>
      </c>
      <c r="AK72" t="s" s="32">
        <v>68</v>
      </c>
      <c r="AL72" t="s" s="32">
        <v>68</v>
      </c>
      <c r="AM72" t="s" s="32">
        <v>68</v>
      </c>
      <c r="AN72" t="s" s="32">
        <v>68</v>
      </c>
      <c r="AO72" t="s" s="32">
        <v>68</v>
      </c>
      <c r="AP72" t="s" s="32">
        <v>68</v>
      </c>
      <c r="AQ72" t="s" s="32">
        <v>68</v>
      </c>
      <c r="AR72" t="s" s="32">
        <v>68</v>
      </c>
      <c r="AS72" t="s" s="32">
        <v>68</v>
      </c>
      <c r="AT72" t="s" s="32">
        <v>68</v>
      </c>
      <c r="AU72" t="s" s="32">
        <v>68</v>
      </c>
      <c r="AV72" t="s" s="32">
        <v>68</v>
      </c>
      <c r="AW72" t="s" s="32">
        <v>68</v>
      </c>
      <c r="AX72" t="s" s="32">
        <v>68</v>
      </c>
      <c r="AY72" t="s" s="32">
        <v>68</v>
      </c>
      <c r="AZ72" t="s" s="32">
        <v>68</v>
      </c>
      <c r="BA72" t="s" s="32">
        <v>68</v>
      </c>
      <c r="BB72" t="s" s="32">
        <v>68</v>
      </c>
    </row>
    <row r="73" spans="1:54" ht="36">
      <c r="A73" t="s" s="157">
        <v>1548</v>
      </c>
      <c r="B73" s="145">
        <v>72</v>
      </c>
      <c r="C73" t="s" s="114">
        <v>683</v>
      </c>
      <c r="D73" t="s" s="38">
        <v>1942</v>
      </c>
      <c r="E73" t="s" s="29">
        <v>68</v>
      </c>
      <c r="F73" t="s" s="29">
        <v>68</v>
      </c>
      <c r="G73" t="s" s="29">
        <v>68</v>
      </c>
      <c r="H73" t="s" s="29">
        <v>68</v>
      </c>
      <c r="I73" t="s" s="29">
        <v>68</v>
      </c>
      <c r="J73" t="s" s="29">
        <v>68</v>
      </c>
      <c r="K73" t="s" s="29">
        <v>68</v>
      </c>
      <c r="L73" t="s" s="29">
        <v>68</v>
      </c>
      <c r="M73" t="s" s="29">
        <v>68</v>
      </c>
      <c r="N73" t="s" s="29">
        <v>68</v>
      </c>
      <c r="O73" t="s" s="29">
        <v>68</v>
      </c>
      <c r="P73" t="s" s="29">
        <v>68</v>
      </c>
      <c r="Q73" t="s" s="29">
        <v>68</v>
      </c>
      <c r="R73" t="s" s="29">
        <v>68</v>
      </c>
      <c r="S73" t="s" s="29">
        <v>68</v>
      </c>
      <c r="T73" t="s" s="29">
        <v>68</v>
      </c>
      <c r="U73" t="s" s="29">
        <v>68</v>
      </c>
      <c r="V73" t="s" s="29">
        <v>68</v>
      </c>
      <c r="W73" t="s" s="29">
        <v>68</v>
      </c>
      <c r="X73" t="s" s="29">
        <v>68</v>
      </c>
      <c r="Y73" t="s" s="29">
        <v>68</v>
      </c>
      <c r="Z73" t="s" s="29">
        <v>68</v>
      </c>
      <c r="AA73" t="s" s="29">
        <v>68</v>
      </c>
      <c r="AB73" t="s" s="29">
        <v>68</v>
      </c>
      <c r="AC73" t="s" s="29">
        <v>68</v>
      </c>
      <c r="AD73" t="s" s="29">
        <v>68</v>
      </c>
      <c r="AE73" t="s" s="29">
        <v>68</v>
      </c>
      <c r="AF73" t="s" s="29">
        <v>68</v>
      </c>
      <c r="AG73" t="s" s="29">
        <v>68</v>
      </c>
      <c r="AH73" t="s" s="29">
        <v>68</v>
      </c>
      <c r="AI73" t="s" s="29">
        <v>68</v>
      </c>
      <c r="AJ73" t="s" s="29">
        <v>68</v>
      </c>
      <c r="AK73" t="s" s="29">
        <v>68</v>
      </c>
      <c r="AL73" t="s" s="29">
        <v>68</v>
      </c>
      <c r="AM73" t="s" s="29">
        <v>68</v>
      </c>
      <c r="AN73" t="s" s="29">
        <v>68</v>
      </c>
      <c r="AO73" t="s" s="29">
        <v>68</v>
      </c>
      <c r="AP73" t="s" s="29">
        <v>68</v>
      </c>
      <c r="AQ73" t="s" s="29">
        <v>68</v>
      </c>
      <c r="AR73" t="s" s="29">
        <v>68</v>
      </c>
      <c r="AS73" t="s" s="29">
        <v>68</v>
      </c>
      <c r="AT73" t="s" s="29">
        <v>68</v>
      </c>
      <c r="AU73" t="s" s="29">
        <v>68</v>
      </c>
      <c r="AV73" t="s" s="29">
        <v>68</v>
      </c>
      <c r="AW73" t="s" s="29">
        <v>68</v>
      </c>
      <c r="AX73" t="s" s="29">
        <v>68</v>
      </c>
      <c r="AY73" t="s" s="29">
        <v>68</v>
      </c>
      <c r="AZ73" t="s" s="29">
        <v>68</v>
      </c>
      <c r="BA73" t="s" s="29">
        <v>68</v>
      </c>
      <c r="BB73" t="s" s="29">
        <v>68</v>
      </c>
    </row>
    <row r="74" spans="1:54" ht="24">
      <c r="A74" t="s" s="157">
        <v>1548</v>
      </c>
      <c r="B74" s="145">
        <v>73</v>
      </c>
      <c r="C74" t="s" s="114">
        <v>772</v>
      </c>
      <c r="D74" t="s" s="38">
        <v>1943</v>
      </c>
      <c r="E74" t="s" s="125">
        <v>68</v>
      </c>
      <c r="F74" t="s" s="125">
        <v>68</v>
      </c>
      <c r="G74" t="s" s="125">
        <v>68</v>
      </c>
      <c r="H74" t="s" s="125">
        <v>68</v>
      </c>
      <c r="I74" t="s" s="125">
        <v>68</v>
      </c>
      <c r="J74" t="s" s="125">
        <v>68</v>
      </c>
      <c r="K74" t="s" s="125">
        <v>68</v>
      </c>
      <c r="L74" t="s" s="125">
        <v>68</v>
      </c>
      <c r="M74" t="s" s="125">
        <v>68</v>
      </c>
      <c r="N74" t="s" s="125">
        <v>68</v>
      </c>
      <c r="O74" t="s" s="125">
        <v>68</v>
      </c>
      <c r="P74" t="s" s="125">
        <v>68</v>
      </c>
      <c r="Q74" t="s" s="125">
        <v>68</v>
      </c>
      <c r="R74" t="s" s="125">
        <v>68</v>
      </c>
      <c r="S74" t="s" s="125">
        <v>68</v>
      </c>
      <c r="T74" t="s" s="125">
        <v>68</v>
      </c>
      <c r="U74" t="s" s="125">
        <v>68</v>
      </c>
      <c r="V74" t="s" s="125">
        <v>68</v>
      </c>
      <c r="W74" t="s" s="125">
        <v>68</v>
      </c>
      <c r="X74" t="s" s="125">
        <v>68</v>
      </c>
      <c r="Y74" t="s" s="125">
        <v>68</v>
      </c>
      <c r="Z74" t="s" s="125">
        <v>68</v>
      </c>
      <c r="AA74" t="s" s="125">
        <v>68</v>
      </c>
      <c r="AB74" t="s" s="125">
        <v>68</v>
      </c>
      <c r="AC74" t="s" s="125">
        <v>68</v>
      </c>
      <c r="AD74" t="s" s="125">
        <v>68</v>
      </c>
      <c r="AE74" t="s" s="125">
        <v>68</v>
      </c>
      <c r="AF74" t="s" s="125">
        <v>68</v>
      </c>
      <c r="AG74" t="s" s="125">
        <v>68</v>
      </c>
      <c r="AH74" t="s" s="125">
        <v>68</v>
      </c>
      <c r="AI74" t="s" s="125">
        <v>68</v>
      </c>
      <c r="AJ74" t="s" s="125">
        <v>68</v>
      </c>
      <c r="AK74" t="s" s="125">
        <v>68</v>
      </c>
      <c r="AL74" t="s" s="125">
        <v>68</v>
      </c>
      <c r="AM74" t="s" s="125">
        <v>68</v>
      </c>
      <c r="AN74" t="s" s="125">
        <v>68</v>
      </c>
      <c r="AO74" t="s" s="125">
        <v>68</v>
      </c>
      <c r="AP74" t="s" s="125">
        <v>68</v>
      </c>
      <c r="AQ74" t="s" s="125">
        <v>68</v>
      </c>
      <c r="AR74" t="s" s="125">
        <v>68</v>
      </c>
      <c r="AS74" t="s" s="125">
        <v>68</v>
      </c>
      <c r="AT74" t="s" s="125">
        <v>68</v>
      </c>
      <c r="AU74" t="s" s="125">
        <v>68</v>
      </c>
      <c r="AV74" t="s" s="125">
        <v>68</v>
      </c>
      <c r="AW74" t="s" s="125">
        <v>68</v>
      </c>
      <c r="AX74" t="s" s="125">
        <v>68</v>
      </c>
      <c r="AY74" t="s" s="125">
        <v>68</v>
      </c>
      <c r="AZ74" t="s" s="125">
        <v>68</v>
      </c>
      <c r="BA74" t="s" s="125">
        <v>68</v>
      </c>
      <c r="BB74" t="s" s="125">
        <v>68</v>
      </c>
    </row>
    <row r="75" spans="1:54" ht="48">
      <c r="A75" t="s" s="157">
        <v>1548</v>
      </c>
      <c r="B75" s="145">
        <v>74</v>
      </c>
      <c r="C75" t="s" s="114">
        <v>1152</v>
      </c>
      <c r="D75" t="s" s="219">
        <v>1944</v>
      </c>
      <c r="E75" t="s" s="32">
        <v>68</v>
      </c>
      <c r="F75" t="s" s="32">
        <v>68</v>
      </c>
      <c r="G75" t="s" s="32">
        <v>68</v>
      </c>
      <c r="H75" t="s" s="32">
        <v>68</v>
      </c>
      <c r="I75" t="s" s="32">
        <v>68</v>
      </c>
      <c r="J75" t="s" s="32">
        <v>68</v>
      </c>
      <c r="K75" t="s" s="32">
        <v>68</v>
      </c>
      <c r="L75" t="s" s="32">
        <v>68</v>
      </c>
      <c r="M75" t="s" s="32">
        <v>68</v>
      </c>
      <c r="N75" t="s" s="32">
        <v>68</v>
      </c>
      <c r="O75" t="s" s="32">
        <v>68</v>
      </c>
      <c r="P75" t="s" s="32">
        <v>68</v>
      </c>
      <c r="Q75" t="s" s="32">
        <v>68</v>
      </c>
      <c r="R75" t="s" s="32">
        <v>68</v>
      </c>
      <c r="S75" t="s" s="32">
        <v>68</v>
      </c>
      <c r="T75" t="s" s="32">
        <v>68</v>
      </c>
      <c r="U75" t="s" s="32">
        <v>68</v>
      </c>
      <c r="V75" t="s" s="32">
        <v>68</v>
      </c>
      <c r="W75" t="s" s="32">
        <v>68</v>
      </c>
      <c r="X75" t="s" s="32">
        <v>68</v>
      </c>
      <c r="Y75" t="s" s="32">
        <v>68</v>
      </c>
      <c r="Z75" t="s" s="32">
        <v>68</v>
      </c>
      <c r="AA75" t="s" s="32">
        <v>68</v>
      </c>
      <c r="AB75" t="s" s="32">
        <v>68</v>
      </c>
      <c r="AC75" t="s" s="32">
        <v>68</v>
      </c>
      <c r="AD75" t="s" s="32">
        <v>68</v>
      </c>
      <c r="AE75" t="s" s="32">
        <v>68</v>
      </c>
      <c r="AF75" t="s" s="32">
        <v>68</v>
      </c>
      <c r="AG75" t="s" s="32">
        <v>68</v>
      </c>
      <c r="AH75" t="s" s="32">
        <v>68</v>
      </c>
      <c r="AI75" t="s" s="32">
        <v>68</v>
      </c>
      <c r="AJ75" t="s" s="32">
        <v>68</v>
      </c>
      <c r="AK75" t="s" s="32">
        <v>68</v>
      </c>
      <c r="AL75" t="s" s="32">
        <v>68</v>
      </c>
      <c r="AM75" t="s" s="32">
        <v>68</v>
      </c>
      <c r="AN75" t="s" s="32">
        <v>68</v>
      </c>
      <c r="AO75" t="s" s="32">
        <v>68</v>
      </c>
      <c r="AP75" t="s" s="32">
        <v>68</v>
      </c>
      <c r="AQ75" t="s" s="32">
        <v>68</v>
      </c>
      <c r="AR75" t="s" s="32">
        <v>68</v>
      </c>
      <c r="AS75" t="s" s="32">
        <v>68</v>
      </c>
      <c r="AT75" t="s" s="32">
        <v>68</v>
      </c>
      <c r="AU75" t="s" s="32">
        <v>68</v>
      </c>
      <c r="AV75" t="s" s="32">
        <v>68</v>
      </c>
      <c r="AW75" t="s" s="32">
        <v>68</v>
      </c>
      <c r="AX75" t="s" s="32">
        <v>68</v>
      </c>
      <c r="AY75" t="s" s="32">
        <v>68</v>
      </c>
      <c r="AZ75" t="s" s="32">
        <v>68</v>
      </c>
      <c r="BA75" t="s" s="32">
        <v>68</v>
      </c>
      <c r="BB75" t="s" s="32">
        <v>68</v>
      </c>
    </row>
    <row r="76" spans="1:54" ht="36">
      <c r="A76" t="s" s="157">
        <v>1548</v>
      </c>
      <c r="B76" s="145">
        <v>75</v>
      </c>
      <c r="C76" t="s" s="114">
        <v>1625</v>
      </c>
      <c r="D76" t="s" s="38">
        <v>1945</v>
      </c>
      <c r="E76" t="s" s="32">
        <v>68</v>
      </c>
      <c r="F76" t="s" s="32">
        <v>68</v>
      </c>
      <c r="G76" t="s" s="32">
        <v>68</v>
      </c>
      <c r="H76" t="s" s="32">
        <v>68</v>
      </c>
      <c r="I76" t="s" s="32">
        <v>68</v>
      </c>
      <c r="J76" t="s" s="32">
        <v>68</v>
      </c>
      <c r="K76" t="s" s="32">
        <v>68</v>
      </c>
      <c r="L76" t="s" s="32">
        <v>68</v>
      </c>
      <c r="M76" t="s" s="32">
        <v>68</v>
      </c>
      <c r="N76" t="s" s="32">
        <v>68</v>
      </c>
      <c r="O76" t="s" s="32">
        <v>68</v>
      </c>
      <c r="P76" t="s" s="32">
        <v>68</v>
      </c>
      <c r="Q76" t="s" s="32">
        <v>68</v>
      </c>
      <c r="R76" t="s" s="32">
        <v>68</v>
      </c>
      <c r="S76" t="s" s="32">
        <v>68</v>
      </c>
      <c r="T76" t="s" s="32">
        <v>68</v>
      </c>
      <c r="U76" t="s" s="32">
        <v>68</v>
      </c>
      <c r="V76" t="s" s="32">
        <v>68</v>
      </c>
      <c r="W76" t="s" s="32">
        <v>68</v>
      </c>
      <c r="X76" t="s" s="32">
        <v>68</v>
      </c>
      <c r="Y76" t="s" s="32">
        <v>68</v>
      </c>
      <c r="Z76" t="s" s="32">
        <v>68</v>
      </c>
      <c r="AA76" t="s" s="32">
        <v>68</v>
      </c>
      <c r="AB76" t="s" s="32">
        <v>68</v>
      </c>
      <c r="AC76" t="s" s="32">
        <v>68</v>
      </c>
      <c r="AD76" t="s" s="32">
        <v>68</v>
      </c>
      <c r="AE76" t="s" s="32">
        <v>68</v>
      </c>
      <c r="AF76" t="s" s="32">
        <v>68</v>
      </c>
      <c r="AG76" t="s" s="32">
        <v>68</v>
      </c>
      <c r="AH76" t="s" s="32">
        <v>68</v>
      </c>
      <c r="AI76" t="s" s="32">
        <v>68</v>
      </c>
      <c r="AJ76" t="s" s="32">
        <v>68</v>
      </c>
      <c r="AK76" t="s" s="32">
        <v>68</v>
      </c>
      <c r="AL76" t="s" s="32">
        <v>68</v>
      </c>
      <c r="AM76" t="s" s="32">
        <v>68</v>
      </c>
      <c r="AN76" t="s" s="32">
        <v>68</v>
      </c>
      <c r="AO76" t="s" s="32">
        <v>68</v>
      </c>
      <c r="AP76" t="s" s="32">
        <v>68</v>
      </c>
      <c r="AQ76" t="s" s="32">
        <v>68</v>
      </c>
      <c r="AR76" t="s" s="32">
        <v>68</v>
      </c>
      <c r="AS76" t="s" s="32">
        <v>68</v>
      </c>
      <c r="AT76" t="s" s="32">
        <v>68</v>
      </c>
      <c r="AU76" t="s" s="32">
        <v>68</v>
      </c>
      <c r="AV76" t="s" s="32">
        <v>68</v>
      </c>
      <c r="AW76" t="s" s="32">
        <v>68</v>
      </c>
      <c r="AX76" t="s" s="32">
        <v>68</v>
      </c>
      <c r="AY76" t="s" s="32">
        <v>68</v>
      </c>
      <c r="AZ76" t="s" s="32">
        <v>68</v>
      </c>
      <c r="BA76" t="s" s="32">
        <v>68</v>
      </c>
      <c r="BB76" t="s" s="32">
        <v>68</v>
      </c>
    </row>
    <row r="77" spans="1:54" ht="24">
      <c r="A77" t="s" s="157">
        <v>1548</v>
      </c>
      <c r="B77" s="145">
        <v>76</v>
      </c>
      <c r="C77" t="s" s="114">
        <v>54</v>
      </c>
      <c r="D77" t="s" s="219">
        <v>102</v>
      </c>
      <c r="E77" t="s" s="32">
        <v>68</v>
      </c>
      <c r="F77" t="s" s="32">
        <v>68</v>
      </c>
      <c r="G77" t="s" s="32">
        <v>68</v>
      </c>
      <c r="H77" t="s" s="32">
        <v>68</v>
      </c>
      <c r="I77" t="s" s="32">
        <v>68</v>
      </c>
      <c r="J77" t="s" s="32">
        <v>68</v>
      </c>
      <c r="K77" t="s" s="32">
        <v>68</v>
      </c>
      <c r="L77" t="s" s="32">
        <v>68</v>
      </c>
      <c r="M77" t="s" s="32">
        <v>68</v>
      </c>
      <c r="N77" t="s" s="32">
        <v>68</v>
      </c>
      <c r="O77" t="s" s="32">
        <v>68</v>
      </c>
      <c r="P77" t="s" s="32">
        <v>68</v>
      </c>
      <c r="Q77" t="s" s="32">
        <v>68</v>
      </c>
      <c r="R77" t="s" s="32">
        <v>68</v>
      </c>
      <c r="S77" t="s" s="32">
        <v>68</v>
      </c>
      <c r="T77" t="s" s="32">
        <v>68</v>
      </c>
      <c r="U77" t="s" s="32">
        <v>68</v>
      </c>
      <c r="V77" t="s" s="32">
        <v>68</v>
      </c>
      <c r="W77" t="s" s="32">
        <v>68</v>
      </c>
      <c r="X77" t="s" s="32">
        <v>68</v>
      </c>
      <c r="Y77" t="s" s="32">
        <v>68</v>
      </c>
      <c r="Z77" t="s" s="32">
        <v>68</v>
      </c>
      <c r="AA77" t="s" s="32">
        <v>68</v>
      </c>
      <c r="AB77" t="s" s="32">
        <v>68</v>
      </c>
      <c r="AC77" t="s" s="32">
        <v>68</v>
      </c>
      <c r="AD77" t="s" s="32">
        <v>68</v>
      </c>
      <c r="AE77" t="s" s="32">
        <v>68</v>
      </c>
      <c r="AF77" t="s" s="32">
        <v>68</v>
      </c>
      <c r="AG77" t="s" s="32">
        <v>68</v>
      </c>
      <c r="AH77" t="s" s="32">
        <v>68</v>
      </c>
      <c r="AI77" t="s" s="32">
        <v>68</v>
      </c>
      <c r="AJ77" t="s" s="32">
        <v>68</v>
      </c>
      <c r="AK77" t="s" s="32">
        <v>68</v>
      </c>
      <c r="AL77" t="s" s="32">
        <v>68</v>
      </c>
      <c r="AM77" t="s" s="32">
        <v>68</v>
      </c>
      <c r="AN77" t="s" s="32">
        <v>68</v>
      </c>
      <c r="AO77" t="s" s="32">
        <v>68</v>
      </c>
      <c r="AP77" t="s" s="32">
        <v>68</v>
      </c>
      <c r="AQ77" t="s" s="32">
        <v>68</v>
      </c>
      <c r="AR77" t="s" s="32">
        <v>68</v>
      </c>
      <c r="AS77" t="s" s="32">
        <v>68</v>
      </c>
      <c r="AT77" t="s" s="32">
        <v>68</v>
      </c>
      <c r="AU77" t="s" s="32">
        <v>68</v>
      </c>
      <c r="AV77" t="s" s="32">
        <v>68</v>
      </c>
      <c r="AW77" t="s" s="32">
        <v>68</v>
      </c>
      <c r="AX77" t="s" s="32">
        <v>68</v>
      </c>
      <c r="AY77" t="s" s="32">
        <v>68</v>
      </c>
      <c r="AZ77" t="s" s="32">
        <v>68</v>
      </c>
      <c r="BA77" t="s" s="32">
        <v>68</v>
      </c>
      <c r="BB77" t="s" s="32">
        <v>68</v>
      </c>
    </row>
    <row r="78" spans="1:54" ht="36">
      <c r="A78" t="s" s="157">
        <v>1548</v>
      </c>
      <c r="B78" s="145">
        <v>77</v>
      </c>
      <c r="C78" t="s" s="114">
        <v>883</v>
      </c>
      <c r="D78" t="s" s="219">
        <v>762</v>
      </c>
      <c r="E78" t="s" s="32">
        <v>68</v>
      </c>
      <c r="F78" t="s" s="32">
        <v>68</v>
      </c>
      <c r="G78" t="s" s="32">
        <v>68</v>
      </c>
      <c r="H78" t="s" s="32">
        <v>68</v>
      </c>
      <c r="I78" t="s" s="32">
        <v>68</v>
      </c>
      <c r="J78" t="s" s="32">
        <v>68</v>
      </c>
      <c r="K78" t="s" s="32">
        <v>68</v>
      </c>
      <c r="L78" t="s" s="32">
        <v>68</v>
      </c>
      <c r="M78" t="s" s="32">
        <v>68</v>
      </c>
      <c r="N78" t="s" s="32">
        <v>68</v>
      </c>
      <c r="O78" t="s" s="32">
        <v>68</v>
      </c>
      <c r="P78" t="s" s="32">
        <v>68</v>
      </c>
      <c r="Q78" t="s" s="32">
        <v>68</v>
      </c>
      <c r="R78" t="s" s="32">
        <v>68</v>
      </c>
      <c r="S78" t="s" s="32">
        <v>68</v>
      </c>
      <c r="T78" t="s" s="32">
        <v>68</v>
      </c>
      <c r="U78" t="s" s="32">
        <v>68</v>
      </c>
      <c r="V78" t="s" s="32">
        <v>68</v>
      </c>
      <c r="W78" t="s" s="32">
        <v>68</v>
      </c>
      <c r="X78" t="s" s="32">
        <v>68</v>
      </c>
      <c r="Y78" t="s" s="32">
        <v>68</v>
      </c>
      <c r="Z78" t="s" s="32">
        <v>68</v>
      </c>
      <c r="AA78" t="s" s="32">
        <v>68</v>
      </c>
      <c r="AB78" t="s" s="32">
        <v>68</v>
      </c>
      <c r="AC78" t="s" s="32">
        <v>68</v>
      </c>
      <c r="AD78" t="s" s="32">
        <v>68</v>
      </c>
      <c r="AE78" t="s" s="32">
        <v>68</v>
      </c>
      <c r="AF78" t="s" s="32">
        <v>68</v>
      </c>
      <c r="AG78" t="s" s="32">
        <v>68</v>
      </c>
      <c r="AH78" t="s" s="32">
        <v>68</v>
      </c>
      <c r="AI78" t="s" s="32">
        <v>68</v>
      </c>
      <c r="AJ78" t="s" s="32">
        <v>68</v>
      </c>
      <c r="AK78" t="s" s="32">
        <v>68</v>
      </c>
      <c r="AL78" t="s" s="32">
        <v>68</v>
      </c>
      <c r="AM78" t="s" s="32">
        <v>68</v>
      </c>
      <c r="AN78" t="s" s="32">
        <v>68</v>
      </c>
      <c r="AO78" t="s" s="32">
        <v>68</v>
      </c>
      <c r="AP78" t="s" s="32">
        <v>68</v>
      </c>
      <c r="AQ78" t="s" s="32">
        <v>68</v>
      </c>
      <c r="AR78" t="s" s="32">
        <v>68</v>
      </c>
      <c r="AS78" t="s" s="32">
        <v>68</v>
      </c>
      <c r="AT78" t="s" s="32">
        <v>68</v>
      </c>
      <c r="AU78" t="s" s="32">
        <v>68</v>
      </c>
      <c r="AV78" t="s" s="32">
        <v>68</v>
      </c>
      <c r="AW78" t="s" s="32">
        <v>68</v>
      </c>
      <c r="AX78" t="s" s="32">
        <v>68</v>
      </c>
      <c r="AY78" t="s" s="32">
        <v>68</v>
      </c>
      <c r="AZ78" t="s" s="32">
        <v>68</v>
      </c>
      <c r="BA78" t="s" s="32">
        <v>68</v>
      </c>
      <c r="BB78" t="s" s="32">
        <v>68</v>
      </c>
    </row>
    <row r="79" spans="1:54" ht="24">
      <c r="A79" t="s" s="157">
        <v>1548</v>
      </c>
      <c r="B79" s="145">
        <v>78</v>
      </c>
      <c r="C79" t="s" s="114">
        <v>945</v>
      </c>
      <c r="D79" t="s" s="219">
        <v>775</v>
      </c>
      <c r="E79" t="s" s="32">
        <v>68</v>
      </c>
      <c r="F79" t="s" s="32">
        <v>68</v>
      </c>
      <c r="G79" t="s" s="32">
        <v>68</v>
      </c>
      <c r="H79" t="s" s="32">
        <v>68</v>
      </c>
      <c r="I79" t="s" s="32">
        <v>68</v>
      </c>
      <c r="J79" t="s" s="32">
        <v>68</v>
      </c>
      <c r="K79" t="s" s="32">
        <v>68</v>
      </c>
      <c r="L79" t="s" s="32">
        <v>68</v>
      </c>
      <c r="M79" t="s" s="32">
        <v>68</v>
      </c>
      <c r="N79" t="s" s="32">
        <v>68</v>
      </c>
      <c r="O79" t="s" s="32">
        <v>68</v>
      </c>
      <c r="P79" t="s" s="32">
        <v>68</v>
      </c>
      <c r="Q79" t="s" s="32">
        <v>68</v>
      </c>
      <c r="R79" t="s" s="32">
        <v>68</v>
      </c>
      <c r="S79" t="s" s="32">
        <v>68</v>
      </c>
      <c r="T79" t="s" s="32">
        <v>68</v>
      </c>
      <c r="U79" t="s" s="32">
        <v>68</v>
      </c>
      <c r="V79" t="s" s="32">
        <v>68</v>
      </c>
      <c r="W79" t="s" s="32">
        <v>68</v>
      </c>
      <c r="X79" t="s" s="32">
        <v>68</v>
      </c>
      <c r="Y79" t="s" s="32">
        <v>68</v>
      </c>
      <c r="Z79" t="s" s="32">
        <v>68</v>
      </c>
      <c r="AA79" t="s" s="32">
        <v>68</v>
      </c>
      <c r="AB79" t="s" s="32">
        <v>68</v>
      </c>
      <c r="AC79" t="s" s="32">
        <v>68</v>
      </c>
      <c r="AD79" t="s" s="32">
        <v>68</v>
      </c>
      <c r="AE79" t="s" s="32">
        <v>68</v>
      </c>
      <c r="AF79" t="s" s="32">
        <v>68</v>
      </c>
      <c r="AG79" t="s" s="32">
        <v>68</v>
      </c>
      <c r="AH79" t="s" s="32">
        <v>68</v>
      </c>
      <c r="AI79" t="s" s="32">
        <v>68</v>
      </c>
      <c r="AJ79" t="s" s="32">
        <v>68</v>
      </c>
      <c r="AK79" t="s" s="32">
        <v>68</v>
      </c>
      <c r="AL79" t="s" s="32">
        <v>68</v>
      </c>
      <c r="AM79" t="s" s="32">
        <v>68</v>
      </c>
      <c r="AN79" t="s" s="32">
        <v>68</v>
      </c>
      <c r="AO79" t="s" s="32">
        <v>68</v>
      </c>
      <c r="AP79" t="s" s="32">
        <v>68</v>
      </c>
      <c r="AQ79" t="s" s="32">
        <v>68</v>
      </c>
      <c r="AR79" t="s" s="32">
        <v>68</v>
      </c>
      <c r="AS79" t="s" s="32">
        <v>68</v>
      </c>
      <c r="AT79" t="s" s="32">
        <v>68</v>
      </c>
      <c r="AU79" t="s" s="32">
        <v>68</v>
      </c>
      <c r="AV79" t="s" s="32">
        <v>68</v>
      </c>
      <c r="AW79" t="s" s="32">
        <v>68</v>
      </c>
      <c r="AX79" t="s" s="32">
        <v>68</v>
      </c>
      <c r="AY79" t="s" s="32">
        <v>68</v>
      </c>
      <c r="AZ79" t="s" s="32">
        <v>68</v>
      </c>
      <c r="BA79" t="s" s="32">
        <v>68</v>
      </c>
      <c r="BB79" t="s" s="32">
        <v>68</v>
      </c>
    </row>
    <row r="80" spans="1:54" ht="24">
      <c r="A80" t="s" s="157">
        <v>1548</v>
      </c>
      <c r="B80" s="145">
        <v>79</v>
      </c>
      <c r="C80" t="s" s="114">
        <v>1313</v>
      </c>
      <c r="D80" t="s" s="38">
        <v>19</v>
      </c>
      <c r="E80" t="s" s="32">
        <v>68</v>
      </c>
      <c r="F80" t="s" s="32">
        <v>68</v>
      </c>
      <c r="G80" t="s" s="32">
        <v>68</v>
      </c>
      <c r="H80" t="s" s="32">
        <v>68</v>
      </c>
      <c r="I80" t="s" s="32">
        <v>68</v>
      </c>
      <c r="J80" t="s" s="32">
        <v>68</v>
      </c>
      <c r="K80" t="s" s="32">
        <v>68</v>
      </c>
      <c r="L80" t="s" s="32">
        <v>68</v>
      </c>
      <c r="M80" t="s" s="32">
        <v>68</v>
      </c>
      <c r="N80" t="s" s="32">
        <v>68</v>
      </c>
      <c r="O80" t="s" s="32">
        <v>68</v>
      </c>
      <c r="P80" t="s" s="32">
        <v>68</v>
      </c>
      <c r="Q80" t="s" s="32">
        <v>68</v>
      </c>
      <c r="R80" t="s" s="32">
        <v>68</v>
      </c>
      <c r="S80" t="s" s="32">
        <v>68</v>
      </c>
      <c r="T80" t="s" s="32">
        <v>68</v>
      </c>
      <c r="U80" t="s" s="32">
        <v>68</v>
      </c>
      <c r="V80" t="s" s="32">
        <v>68</v>
      </c>
      <c r="W80" t="s" s="32">
        <v>68</v>
      </c>
      <c r="X80" t="s" s="32">
        <v>68</v>
      </c>
      <c r="Y80" t="s" s="32">
        <v>68</v>
      </c>
      <c r="Z80" t="s" s="32">
        <v>68</v>
      </c>
      <c r="AA80" t="s" s="32">
        <v>68</v>
      </c>
      <c r="AB80" t="s" s="32">
        <v>68</v>
      </c>
      <c r="AC80" t="s" s="32">
        <v>68</v>
      </c>
      <c r="AD80" t="s" s="32">
        <v>68</v>
      </c>
      <c r="AE80" t="s" s="32">
        <v>68</v>
      </c>
      <c r="AF80" t="s" s="32">
        <v>68</v>
      </c>
      <c r="AG80" t="s" s="32">
        <v>68</v>
      </c>
      <c r="AH80" t="s" s="32">
        <v>68</v>
      </c>
      <c r="AI80" t="s" s="32">
        <v>68</v>
      </c>
      <c r="AJ80" t="s" s="32">
        <v>68</v>
      </c>
      <c r="AK80" t="s" s="32">
        <v>68</v>
      </c>
      <c r="AL80" t="s" s="32">
        <v>68</v>
      </c>
      <c r="AM80" t="s" s="32">
        <v>68</v>
      </c>
      <c r="AN80" t="s" s="32">
        <v>68</v>
      </c>
      <c r="AO80" t="s" s="32">
        <v>68</v>
      </c>
      <c r="AP80" t="s" s="32">
        <v>68</v>
      </c>
      <c r="AQ80" t="s" s="32">
        <v>68</v>
      </c>
      <c r="AR80" t="s" s="32">
        <v>68</v>
      </c>
      <c r="AS80" t="s" s="32">
        <v>68</v>
      </c>
      <c r="AT80" t="s" s="32">
        <v>68</v>
      </c>
      <c r="AU80" t="s" s="32">
        <v>68</v>
      </c>
      <c r="AV80" t="s" s="32">
        <v>68</v>
      </c>
      <c r="AW80" t="s" s="32">
        <v>68</v>
      </c>
      <c r="AX80" t="s" s="32">
        <v>68</v>
      </c>
      <c r="AY80" t="s" s="32">
        <v>68</v>
      </c>
      <c r="AZ80" t="s" s="32">
        <v>68</v>
      </c>
      <c r="BA80" t="s" s="32">
        <v>68</v>
      </c>
      <c r="BB80" t="s" s="32">
        <v>68</v>
      </c>
    </row>
    <row r="81" spans="1:54" ht="36">
      <c r="A81" t="s" s="157">
        <v>1548</v>
      </c>
      <c r="B81" s="145">
        <v>80</v>
      </c>
      <c r="C81" t="s" s="114">
        <v>360</v>
      </c>
      <c r="D81" t="s" s="38">
        <v>1946</v>
      </c>
      <c r="E81" t="s" s="32">
        <v>68</v>
      </c>
      <c r="F81" t="s" s="32">
        <v>68</v>
      </c>
      <c r="G81" t="s" s="32">
        <v>68</v>
      </c>
      <c r="H81" t="s" s="32">
        <v>68</v>
      </c>
      <c r="I81" t="s" s="32">
        <v>68</v>
      </c>
      <c r="J81" t="s" s="32">
        <v>68</v>
      </c>
      <c r="K81" t="s" s="32">
        <v>68</v>
      </c>
      <c r="L81" t="s" s="32">
        <v>68</v>
      </c>
      <c r="M81" t="s" s="32">
        <v>68</v>
      </c>
      <c r="N81" t="s" s="32">
        <v>68</v>
      </c>
      <c r="O81" t="s" s="32">
        <v>68</v>
      </c>
      <c r="P81" t="s" s="32">
        <v>68</v>
      </c>
      <c r="Q81" t="s" s="32">
        <v>68</v>
      </c>
      <c r="R81" t="s" s="32">
        <v>68</v>
      </c>
      <c r="S81" t="s" s="32">
        <v>68</v>
      </c>
      <c r="T81" t="s" s="32">
        <v>68</v>
      </c>
      <c r="U81" t="s" s="32">
        <v>68</v>
      </c>
      <c r="V81" t="s" s="32">
        <v>68</v>
      </c>
      <c r="W81" t="s" s="32">
        <v>68</v>
      </c>
      <c r="X81" t="s" s="32">
        <v>68</v>
      </c>
      <c r="Y81" t="s" s="32">
        <v>68</v>
      </c>
      <c r="Z81" t="s" s="32">
        <v>68</v>
      </c>
      <c r="AA81" t="s" s="32">
        <v>68</v>
      </c>
      <c r="AB81" t="s" s="32">
        <v>68</v>
      </c>
      <c r="AC81" t="s" s="32">
        <v>68</v>
      </c>
      <c r="AD81" t="s" s="32">
        <v>68</v>
      </c>
      <c r="AE81" t="s" s="32">
        <v>68</v>
      </c>
      <c r="AF81" t="s" s="32">
        <v>68</v>
      </c>
      <c r="AG81" t="s" s="32">
        <v>68</v>
      </c>
      <c r="AH81" t="s" s="32">
        <v>68</v>
      </c>
      <c r="AI81" t="s" s="32">
        <v>68</v>
      </c>
      <c r="AJ81" t="s" s="32">
        <v>68</v>
      </c>
      <c r="AK81" t="s" s="32">
        <v>68</v>
      </c>
      <c r="AL81" t="s" s="32">
        <v>68</v>
      </c>
      <c r="AM81" t="s" s="32">
        <v>68</v>
      </c>
      <c r="AN81" t="s" s="32">
        <v>68</v>
      </c>
      <c r="AO81" t="s" s="32">
        <v>68</v>
      </c>
      <c r="AP81" t="s" s="32">
        <v>68</v>
      </c>
      <c r="AQ81" t="s" s="32">
        <v>68</v>
      </c>
      <c r="AR81" t="s" s="32">
        <v>68</v>
      </c>
      <c r="AS81" t="s" s="32">
        <v>68</v>
      </c>
      <c r="AT81" t="s" s="32">
        <v>68</v>
      </c>
      <c r="AU81" t="s" s="32">
        <v>68</v>
      </c>
      <c r="AV81" t="s" s="32">
        <v>68</v>
      </c>
      <c r="AW81" t="s" s="32">
        <v>68</v>
      </c>
      <c r="AX81" t="s" s="32">
        <v>68</v>
      </c>
      <c r="AY81" t="s" s="32">
        <v>68</v>
      </c>
      <c r="AZ81" t="s" s="32">
        <v>68</v>
      </c>
      <c r="BA81" t="s" s="32">
        <v>68</v>
      </c>
      <c r="BB81" t="s" s="32">
        <v>68</v>
      </c>
    </row>
    <row r="82" spans="1:54" ht="24">
      <c r="A82" t="s" s="157">
        <v>1548</v>
      </c>
      <c r="B82" s="145">
        <v>81</v>
      </c>
      <c r="C82" t="s" s="114">
        <v>193</v>
      </c>
      <c r="D82" t="s" s="38">
        <v>218</v>
      </c>
      <c r="E82" t="s" s="32">
        <v>68</v>
      </c>
      <c r="F82" t="s" s="32">
        <v>68</v>
      </c>
      <c r="G82" t="s" s="32">
        <v>68</v>
      </c>
      <c r="H82" t="s" s="32">
        <v>68</v>
      </c>
      <c r="I82" t="s" s="32">
        <v>68</v>
      </c>
      <c r="J82" t="s" s="32">
        <v>68</v>
      </c>
      <c r="K82" t="s" s="32">
        <v>68</v>
      </c>
      <c r="L82" t="s" s="32">
        <v>68</v>
      </c>
      <c r="M82" t="s" s="32">
        <v>68</v>
      </c>
      <c r="N82" t="s" s="32">
        <v>68</v>
      </c>
      <c r="O82" t="s" s="32">
        <v>68</v>
      </c>
      <c r="P82" t="s" s="32">
        <v>68</v>
      </c>
      <c r="Q82" t="s" s="32">
        <v>68</v>
      </c>
      <c r="R82" t="s" s="32">
        <v>68</v>
      </c>
      <c r="S82" t="s" s="32">
        <v>68</v>
      </c>
      <c r="T82" t="s" s="32">
        <v>68</v>
      </c>
      <c r="U82" t="s" s="32">
        <v>68</v>
      </c>
      <c r="V82" t="s" s="32">
        <v>68</v>
      </c>
      <c r="W82" t="s" s="32">
        <v>68</v>
      </c>
      <c r="X82" t="s" s="32">
        <v>68</v>
      </c>
      <c r="Y82" t="s" s="32">
        <v>68</v>
      </c>
      <c r="Z82" t="s" s="32">
        <v>68</v>
      </c>
      <c r="AA82" t="s" s="32">
        <v>68</v>
      </c>
      <c r="AB82" t="s" s="32">
        <v>68</v>
      </c>
      <c r="AC82" t="s" s="32">
        <v>68</v>
      </c>
      <c r="AD82" t="s" s="32">
        <v>68</v>
      </c>
      <c r="AE82" t="s" s="32">
        <v>68</v>
      </c>
      <c r="AF82" t="s" s="32">
        <v>68</v>
      </c>
      <c r="AG82" t="s" s="32">
        <v>68</v>
      </c>
      <c r="AH82" t="s" s="32">
        <v>68</v>
      </c>
      <c r="AI82" t="s" s="32">
        <v>68</v>
      </c>
      <c r="AJ82" t="s" s="32">
        <v>68</v>
      </c>
      <c r="AK82" t="s" s="32">
        <v>68</v>
      </c>
      <c r="AL82" t="s" s="32">
        <v>68</v>
      </c>
      <c r="AM82" t="s" s="32">
        <v>68</v>
      </c>
      <c r="AN82" t="s" s="32">
        <v>68</v>
      </c>
      <c r="AO82" t="s" s="32">
        <v>68</v>
      </c>
      <c r="AP82" t="s" s="32">
        <v>68</v>
      </c>
      <c r="AQ82" t="s" s="32">
        <v>68</v>
      </c>
      <c r="AR82" t="s" s="32">
        <v>68</v>
      </c>
      <c r="AS82" t="s" s="32">
        <v>68</v>
      </c>
      <c r="AT82" t="s" s="32">
        <v>68</v>
      </c>
      <c r="AU82" t="s" s="32">
        <v>68</v>
      </c>
      <c r="AV82" t="s" s="32">
        <v>68</v>
      </c>
      <c r="AW82" t="s" s="32">
        <v>68</v>
      </c>
      <c r="AX82" t="s" s="32">
        <v>68</v>
      </c>
      <c r="AY82" t="s" s="32">
        <v>68</v>
      </c>
      <c r="AZ82" t="s" s="32">
        <v>68</v>
      </c>
      <c r="BA82" t="s" s="32">
        <v>68</v>
      </c>
      <c r="BB82" t="s" s="32">
        <v>68</v>
      </c>
    </row>
    <row r="83" spans="1:54">
      <c r="B83" s="145">
        <v>82</v>
      </c>
      <c r="C83" t="s" s="114">
        <v>290</v>
      </c>
      <c r="D83" t="s" s="38">
        <v>1947</v>
      </c>
      <c r="E83" t="s" s="32">
        <v>68</v>
      </c>
      <c r="F83" t="s" s="32">
        <v>68</v>
      </c>
      <c r="G83" t="s" s="32">
        <v>68</v>
      </c>
      <c r="H83" t="s" s="32">
        <v>68</v>
      </c>
      <c r="I83" t="s" s="32">
        <v>68</v>
      </c>
      <c r="J83" t="s" s="32">
        <v>68</v>
      </c>
      <c r="K83" t="s" s="32">
        <v>68</v>
      </c>
      <c r="L83" t="s" s="32">
        <v>68</v>
      </c>
      <c r="M83" t="s" s="32">
        <v>68</v>
      </c>
      <c r="N83" t="s" s="32">
        <v>68</v>
      </c>
      <c r="O83" t="s" s="32">
        <v>68</v>
      </c>
      <c r="P83" t="s" s="32">
        <v>68</v>
      </c>
      <c r="Q83" t="s" s="32">
        <v>68</v>
      </c>
      <c r="R83" t="s" s="32">
        <v>68</v>
      </c>
      <c r="S83" t="s" s="32">
        <v>68</v>
      </c>
      <c r="T83" t="s" s="32">
        <v>68</v>
      </c>
      <c r="U83" t="s" s="32">
        <v>68</v>
      </c>
      <c r="V83" t="s" s="32">
        <v>68</v>
      </c>
      <c r="W83" t="s" s="32">
        <v>68</v>
      </c>
      <c r="X83" t="s" s="32">
        <v>68</v>
      </c>
      <c r="Y83" t="s" s="32">
        <v>68</v>
      </c>
      <c r="Z83" t="s" s="32">
        <v>68</v>
      </c>
      <c r="AA83" t="s" s="32">
        <v>68</v>
      </c>
      <c r="AB83" t="s" s="32">
        <v>68</v>
      </c>
      <c r="AC83" t="s" s="32">
        <v>68</v>
      </c>
      <c r="AD83" t="s" s="32">
        <v>68</v>
      </c>
      <c r="AE83" t="s" s="32">
        <v>68</v>
      </c>
      <c r="AF83" t="s" s="32">
        <v>68</v>
      </c>
      <c r="AG83" t="s" s="32">
        <v>68</v>
      </c>
      <c r="AH83" t="s" s="32">
        <v>68</v>
      </c>
      <c r="AI83" t="s" s="32">
        <v>68</v>
      </c>
      <c r="AJ83" t="s" s="32">
        <v>68</v>
      </c>
      <c r="AK83" t="s" s="32">
        <v>68</v>
      </c>
      <c r="AL83" t="s" s="32">
        <v>68</v>
      </c>
      <c r="AM83" t="s" s="32">
        <v>68</v>
      </c>
      <c r="AN83" t="s" s="32">
        <v>68</v>
      </c>
      <c r="AO83" t="s" s="32">
        <v>68</v>
      </c>
      <c r="AP83" t="s" s="32">
        <v>68</v>
      </c>
      <c r="AQ83" t="s" s="32">
        <v>68</v>
      </c>
      <c r="AR83" t="s" s="32">
        <v>68</v>
      </c>
      <c r="AS83" t="s" s="32">
        <v>68</v>
      </c>
      <c r="AT83" t="s" s="32">
        <v>68</v>
      </c>
      <c r="AU83" t="s" s="32">
        <v>68</v>
      </c>
      <c r="AV83" t="s" s="32">
        <v>68</v>
      </c>
      <c r="AW83" t="s" s="32">
        <v>68</v>
      </c>
      <c r="AX83" t="s" s="32">
        <v>68</v>
      </c>
      <c r="AY83" t="s" s="32">
        <v>68</v>
      </c>
      <c r="AZ83" t="s" s="32">
        <v>68</v>
      </c>
      <c r="BA83" t="s" s="32">
        <v>68</v>
      </c>
      <c r="BB83" t="s" s="32">
        <v>68</v>
      </c>
    </row>
    <row r="84" spans="1:54">
      <c r="B84" s="145">
        <v>83</v>
      </c>
      <c r="C84" t="s" s="114">
        <v>604</v>
      </c>
      <c r="D84" t="s" s="38">
        <v>9</v>
      </c>
      <c r="E84" t="s" s="32">
        <v>68</v>
      </c>
      <c r="F84" t="s" s="32">
        <v>68</v>
      </c>
      <c r="G84" t="s" s="32">
        <v>68</v>
      </c>
      <c r="H84" t="s" s="32">
        <v>68</v>
      </c>
      <c r="I84" t="s" s="32">
        <v>68</v>
      </c>
      <c r="J84" t="s" s="32">
        <v>68</v>
      </c>
      <c r="K84" t="s" s="32">
        <v>68</v>
      </c>
      <c r="L84" t="s" s="32">
        <v>68</v>
      </c>
      <c r="M84" t="s" s="32">
        <v>68</v>
      </c>
      <c r="N84" t="s" s="32">
        <v>68</v>
      </c>
      <c r="O84" t="s" s="32">
        <v>68</v>
      </c>
      <c r="P84" t="s" s="32">
        <v>68</v>
      </c>
      <c r="Q84" t="s" s="32">
        <v>68</v>
      </c>
      <c r="R84" t="s" s="32">
        <v>68</v>
      </c>
      <c r="S84" t="s" s="32">
        <v>68</v>
      </c>
      <c r="T84" t="s" s="32">
        <v>68</v>
      </c>
      <c r="U84" t="s" s="32">
        <v>68</v>
      </c>
      <c r="V84" t="s" s="32">
        <v>68</v>
      </c>
      <c r="W84" t="s" s="32">
        <v>68</v>
      </c>
      <c r="X84" t="s" s="32">
        <v>68</v>
      </c>
      <c r="Y84" t="s" s="32">
        <v>68</v>
      </c>
      <c r="Z84" t="s" s="32">
        <v>68</v>
      </c>
      <c r="AA84" t="s" s="32">
        <v>68</v>
      </c>
      <c r="AB84" t="s" s="32">
        <v>68</v>
      </c>
      <c r="AC84" t="s" s="32">
        <v>68</v>
      </c>
      <c r="AD84" t="s" s="32">
        <v>68</v>
      </c>
      <c r="AE84" t="s" s="32">
        <v>68</v>
      </c>
      <c r="AF84" t="s" s="32">
        <v>68</v>
      </c>
      <c r="AG84" t="s" s="32">
        <v>68</v>
      </c>
      <c r="AH84" t="s" s="32">
        <v>68</v>
      </c>
      <c r="AI84" t="s" s="32">
        <v>68</v>
      </c>
      <c r="AJ84" t="s" s="32">
        <v>68</v>
      </c>
      <c r="AK84" t="s" s="32">
        <v>68</v>
      </c>
      <c r="AL84" t="s" s="32">
        <v>68</v>
      </c>
      <c r="AM84" t="s" s="32">
        <v>68</v>
      </c>
      <c r="AN84" t="s" s="32">
        <v>68</v>
      </c>
      <c r="AO84" t="s" s="32">
        <v>68</v>
      </c>
      <c r="AP84" t="s" s="32">
        <v>68</v>
      </c>
      <c r="AQ84" t="s" s="32">
        <v>68</v>
      </c>
      <c r="AR84" t="s" s="32">
        <v>68</v>
      </c>
      <c r="AS84" t="s" s="32">
        <v>68</v>
      </c>
      <c r="AT84" t="s" s="32">
        <v>68</v>
      </c>
      <c r="AU84" t="s" s="32">
        <v>68</v>
      </c>
      <c r="AV84" t="s" s="32">
        <v>68</v>
      </c>
      <c r="AW84" t="s" s="32">
        <v>68</v>
      </c>
      <c r="AX84" t="s" s="32">
        <v>68</v>
      </c>
      <c r="AY84" t="s" s="32">
        <v>68</v>
      </c>
      <c r="AZ84" t="s" s="32">
        <v>68</v>
      </c>
      <c r="BA84" t="s" s="32">
        <v>68</v>
      </c>
      <c r="BB84" t="s" s="32">
        <v>68</v>
      </c>
    </row>
    <row r="85" spans="1:54" ht="24">
      <c r="B85" s="145">
        <v>84</v>
      </c>
      <c r="C85" t="s" s="114">
        <v>337</v>
      </c>
      <c r="D85" t="s" s="38">
        <v>995</v>
      </c>
      <c r="E85" t="s" s="32">
        <v>68</v>
      </c>
      <c r="F85" t="s" s="32">
        <v>68</v>
      </c>
      <c r="G85" t="s" s="32">
        <v>68</v>
      </c>
      <c r="H85" t="s" s="32">
        <v>68</v>
      </c>
      <c r="I85" t="s" s="32">
        <v>68</v>
      </c>
      <c r="J85" t="s" s="32">
        <v>68</v>
      </c>
      <c r="K85" t="s" s="32">
        <v>68</v>
      </c>
      <c r="L85" t="s" s="32">
        <v>68</v>
      </c>
      <c r="M85" t="s" s="32">
        <v>68</v>
      </c>
      <c r="N85" t="s" s="32">
        <v>68</v>
      </c>
      <c r="O85" t="s" s="32">
        <v>68</v>
      </c>
      <c r="P85" t="s" s="32">
        <v>68</v>
      </c>
      <c r="Q85" t="s" s="32">
        <v>68</v>
      </c>
      <c r="R85" t="s" s="32">
        <v>68</v>
      </c>
      <c r="S85" t="s" s="32">
        <v>68</v>
      </c>
      <c r="T85" t="s" s="32">
        <v>68</v>
      </c>
      <c r="U85" t="s" s="32">
        <v>68</v>
      </c>
      <c r="V85" t="s" s="32">
        <v>68</v>
      </c>
      <c r="W85" t="s" s="32">
        <v>68</v>
      </c>
      <c r="X85" t="s" s="32">
        <v>68</v>
      </c>
      <c r="Y85" t="s" s="32">
        <v>68</v>
      </c>
      <c r="Z85" t="s" s="32">
        <v>68</v>
      </c>
      <c r="AA85" t="s" s="32">
        <v>68</v>
      </c>
      <c r="AB85" t="s" s="32">
        <v>68</v>
      </c>
      <c r="AC85" t="s" s="32">
        <v>68</v>
      </c>
      <c r="AD85" t="s" s="32">
        <v>68</v>
      </c>
      <c r="AE85" t="s" s="32">
        <v>68</v>
      </c>
      <c r="AF85" t="s" s="32">
        <v>68</v>
      </c>
      <c r="AG85" t="s" s="32">
        <v>68</v>
      </c>
      <c r="AH85" t="s" s="32">
        <v>68</v>
      </c>
      <c r="AI85" t="s" s="32">
        <v>68</v>
      </c>
      <c r="AJ85" t="s" s="32">
        <v>68</v>
      </c>
      <c r="AK85" t="s" s="32">
        <v>68</v>
      </c>
      <c r="AL85" t="s" s="32">
        <v>68</v>
      </c>
      <c r="AM85" t="s" s="32">
        <v>68</v>
      </c>
      <c r="AN85" t="s" s="32">
        <v>68</v>
      </c>
      <c r="AO85" t="s" s="32">
        <v>68</v>
      </c>
      <c r="AP85" t="s" s="32">
        <v>68</v>
      </c>
      <c r="AQ85" t="s" s="32">
        <v>68</v>
      </c>
      <c r="AR85" t="s" s="32">
        <v>68</v>
      </c>
      <c r="AS85" t="s" s="32">
        <v>68</v>
      </c>
      <c r="AT85" t="s" s="32">
        <v>68</v>
      </c>
      <c r="AU85" t="s" s="32">
        <v>68</v>
      </c>
      <c r="AV85" t="s" s="32">
        <v>68</v>
      </c>
      <c r="AW85" t="s" s="32">
        <v>68</v>
      </c>
      <c r="AX85" t="s" s="32">
        <v>68</v>
      </c>
      <c r="AY85" t="s" s="32">
        <v>68</v>
      </c>
      <c r="AZ85" t="s" s="32">
        <v>68</v>
      </c>
      <c r="BA85" t="s" s="32">
        <v>68</v>
      </c>
      <c r="BB85" t="s" s="32">
        <v>68</v>
      </c>
    </row>
    <row r="86" spans="1:54">
      <c r="B86" s="145">
        <v>85</v>
      </c>
      <c r="C86" t="s" s="114">
        <v>758</v>
      </c>
      <c r="D86" t="s" s="120">
        <v>947</v>
      </c>
      <c r="E86" t="s" s="32">
        <v>68</v>
      </c>
      <c r="F86" t="s" s="32">
        <v>68</v>
      </c>
      <c r="G86" t="s" s="32">
        <v>68</v>
      </c>
      <c r="H86" t="s" s="32">
        <v>68</v>
      </c>
      <c r="I86" t="s" s="32">
        <v>68</v>
      </c>
      <c r="J86" t="s" s="32">
        <v>68</v>
      </c>
      <c r="K86" t="s" s="32">
        <v>68</v>
      </c>
      <c r="L86" t="s" s="32">
        <v>68</v>
      </c>
      <c r="M86" t="s" s="32">
        <v>68</v>
      </c>
      <c r="N86" t="s" s="32">
        <v>68</v>
      </c>
      <c r="O86" t="s" s="32">
        <v>68</v>
      </c>
      <c r="P86" t="s" s="32">
        <v>68</v>
      </c>
      <c r="Q86" t="s" s="32">
        <v>68</v>
      </c>
      <c r="R86" t="s" s="32">
        <v>68</v>
      </c>
      <c r="S86" t="s" s="32">
        <v>68</v>
      </c>
      <c r="T86" t="s" s="32">
        <v>68</v>
      </c>
      <c r="U86" t="s" s="32">
        <v>68</v>
      </c>
      <c r="V86" t="s" s="32">
        <v>68</v>
      </c>
      <c r="W86" t="s" s="32">
        <v>68</v>
      </c>
      <c r="X86" t="s" s="32">
        <v>68</v>
      </c>
      <c r="Y86" t="s" s="32">
        <v>68</v>
      </c>
      <c r="Z86" t="s" s="32">
        <v>68</v>
      </c>
      <c r="AA86" t="s" s="32">
        <v>68</v>
      </c>
      <c r="AB86" t="s" s="32">
        <v>68</v>
      </c>
      <c r="AC86" t="s" s="32">
        <v>68</v>
      </c>
      <c r="AD86" t="s" s="32">
        <v>68</v>
      </c>
      <c r="AE86" t="s" s="32">
        <v>68</v>
      </c>
      <c r="AF86" t="s" s="32">
        <v>68</v>
      </c>
      <c r="AG86" t="s" s="32">
        <v>68</v>
      </c>
      <c r="AH86" t="s" s="32">
        <v>68</v>
      </c>
      <c r="AI86" t="s" s="32">
        <v>68</v>
      </c>
      <c r="AJ86" t="s" s="32">
        <v>68</v>
      </c>
      <c r="AK86" t="s" s="32">
        <v>68</v>
      </c>
      <c r="AL86" t="s" s="32">
        <v>68</v>
      </c>
      <c r="AM86" t="s" s="32">
        <v>68</v>
      </c>
      <c r="AN86" t="s" s="32">
        <v>68</v>
      </c>
      <c r="AO86" t="s" s="32">
        <v>68</v>
      </c>
      <c r="AP86" t="s" s="32">
        <v>68</v>
      </c>
      <c r="AQ86" t="s" s="32">
        <v>68</v>
      </c>
      <c r="AR86" t="s" s="32">
        <v>68</v>
      </c>
      <c r="AS86" t="s" s="32">
        <v>68</v>
      </c>
      <c r="AT86" t="s" s="32">
        <v>68</v>
      </c>
      <c r="AU86" t="s" s="32">
        <v>68</v>
      </c>
      <c r="AV86" t="s" s="32">
        <v>68</v>
      </c>
      <c r="AW86" t="s" s="32">
        <v>68</v>
      </c>
      <c r="AX86" t="s" s="32">
        <v>68</v>
      </c>
      <c r="AY86" t="s" s="32">
        <v>68</v>
      </c>
      <c r="AZ86" t="s" s="32">
        <v>68</v>
      </c>
      <c r="BA86" t="s" s="32">
        <v>68</v>
      </c>
      <c r="BB86" t="s" s="32">
        <v>68</v>
      </c>
    </row>
    <row r="87" spans="1:54" ht="48">
      <c r="B87" s="145">
        <v>86</v>
      </c>
      <c r="C87" t="s" s="114">
        <v>1023</v>
      </c>
      <c r="D87" t="s" s="219">
        <v>1076</v>
      </c>
      <c r="E87" t="s" s="32">
        <v>68</v>
      </c>
      <c r="F87" t="s" s="32">
        <v>68</v>
      </c>
      <c r="G87" t="s" s="32">
        <v>68</v>
      </c>
      <c r="H87" t="s" s="32">
        <v>68</v>
      </c>
      <c r="I87" t="s" s="32">
        <v>68</v>
      </c>
      <c r="J87" t="s" s="32">
        <v>68</v>
      </c>
      <c r="K87" t="s" s="32">
        <v>68</v>
      </c>
      <c r="L87" t="s" s="32">
        <v>68</v>
      </c>
      <c r="M87" t="s" s="32">
        <v>68</v>
      </c>
      <c r="N87" t="s" s="32">
        <v>68</v>
      </c>
      <c r="O87" t="s" s="32">
        <v>68</v>
      </c>
      <c r="P87" t="s" s="32">
        <v>68</v>
      </c>
      <c r="Q87" t="s" s="32">
        <v>68</v>
      </c>
      <c r="R87" t="s" s="32">
        <v>68</v>
      </c>
      <c r="S87" t="s" s="32">
        <v>68</v>
      </c>
      <c r="T87" t="s" s="32">
        <v>68</v>
      </c>
      <c r="U87" t="s" s="32">
        <v>68</v>
      </c>
      <c r="V87" t="s" s="32">
        <v>68</v>
      </c>
      <c r="W87" t="s" s="32">
        <v>68</v>
      </c>
      <c r="X87" t="s" s="32">
        <v>68</v>
      </c>
      <c r="Y87" t="s" s="32">
        <v>68</v>
      </c>
      <c r="Z87" t="s" s="32">
        <v>68</v>
      </c>
      <c r="AA87" t="s" s="32">
        <v>68</v>
      </c>
      <c r="AB87" t="s" s="32">
        <v>68</v>
      </c>
      <c r="AC87" t="s" s="32">
        <v>68</v>
      </c>
      <c r="AD87" t="s" s="32">
        <v>68</v>
      </c>
      <c r="AE87" t="s" s="32">
        <v>68</v>
      </c>
      <c r="AF87" t="s" s="32">
        <v>68</v>
      </c>
      <c r="AG87" t="s" s="32">
        <v>68</v>
      </c>
      <c r="AH87" t="s" s="32">
        <v>68</v>
      </c>
      <c r="AI87" t="s" s="32">
        <v>68</v>
      </c>
      <c r="AJ87" t="s" s="32">
        <v>68</v>
      </c>
      <c r="AK87" t="s" s="32">
        <v>68</v>
      </c>
      <c r="AL87" t="s" s="32">
        <v>68</v>
      </c>
      <c r="AM87" t="s" s="32">
        <v>68</v>
      </c>
      <c r="AN87" t="s" s="32">
        <v>68</v>
      </c>
      <c r="AO87" t="s" s="32">
        <v>68</v>
      </c>
      <c r="AP87" t="s" s="32">
        <v>68</v>
      </c>
      <c r="AQ87" t="s" s="32">
        <v>68</v>
      </c>
      <c r="AR87" t="s" s="32">
        <v>68</v>
      </c>
      <c r="AS87" t="s" s="32">
        <v>68</v>
      </c>
      <c r="AT87" t="s" s="32">
        <v>68</v>
      </c>
      <c r="AU87" t="s" s="32">
        <v>68</v>
      </c>
      <c r="AV87" t="s" s="32">
        <v>68</v>
      </c>
      <c r="AW87" t="s" s="32">
        <v>68</v>
      </c>
      <c r="AX87" t="s" s="32">
        <v>68</v>
      </c>
      <c r="AY87" t="s" s="32">
        <v>68</v>
      </c>
      <c r="AZ87" t="s" s="32">
        <v>68</v>
      </c>
      <c r="BA87" t="s" s="32">
        <v>68</v>
      </c>
      <c r="BB87" t="s" s="32">
        <v>68</v>
      </c>
    </row>
    <row r="88" spans="1:54" ht="24">
      <c r="B88" s="145">
        <v>87</v>
      </c>
      <c r="C88" t="s" s="114">
        <v>444</v>
      </c>
      <c r="D88" t="s" s="38">
        <v>1641</v>
      </c>
      <c r="E88" t="s" s="32">
        <v>68</v>
      </c>
      <c r="F88" t="s" s="32">
        <v>68</v>
      </c>
      <c r="G88" t="s" s="32">
        <v>68</v>
      </c>
      <c r="H88" t="s" s="32">
        <v>68</v>
      </c>
      <c r="I88" t="s" s="32">
        <v>68</v>
      </c>
      <c r="J88" t="s" s="32">
        <v>68</v>
      </c>
      <c r="K88" t="s" s="32">
        <v>68</v>
      </c>
      <c r="L88" t="s" s="32">
        <v>68</v>
      </c>
      <c r="M88" t="s" s="32">
        <v>68</v>
      </c>
      <c r="N88" t="s" s="32">
        <v>68</v>
      </c>
      <c r="O88" t="s" s="32">
        <v>68</v>
      </c>
      <c r="P88" t="s" s="32">
        <v>68</v>
      </c>
      <c r="Q88" t="s" s="32">
        <v>68</v>
      </c>
      <c r="R88" t="s" s="32">
        <v>68</v>
      </c>
      <c r="S88" t="s" s="32">
        <v>68</v>
      </c>
      <c r="T88" t="s" s="32">
        <v>68</v>
      </c>
      <c r="U88" t="s" s="32">
        <v>68</v>
      </c>
      <c r="V88" t="s" s="32">
        <v>68</v>
      </c>
      <c r="W88" t="s" s="32">
        <v>68</v>
      </c>
      <c r="X88" t="s" s="32">
        <v>68</v>
      </c>
      <c r="Y88" t="s" s="32">
        <v>68</v>
      </c>
      <c r="Z88" t="s" s="32">
        <v>68</v>
      </c>
      <c r="AA88" t="s" s="32">
        <v>68</v>
      </c>
      <c r="AB88" t="s" s="32">
        <v>68</v>
      </c>
      <c r="AC88" t="s" s="32">
        <v>68</v>
      </c>
      <c r="AD88" t="s" s="32">
        <v>68</v>
      </c>
      <c r="AE88" t="s" s="32">
        <v>68</v>
      </c>
      <c r="AF88" t="s" s="32">
        <v>68</v>
      </c>
      <c r="AG88" t="s" s="32">
        <v>68</v>
      </c>
      <c r="AH88" t="s" s="32">
        <v>68</v>
      </c>
      <c r="AI88" t="s" s="32">
        <v>68</v>
      </c>
      <c r="AJ88" t="s" s="32">
        <v>68</v>
      </c>
      <c r="AK88" t="s" s="32">
        <v>68</v>
      </c>
      <c r="AL88" t="s" s="32">
        <v>68</v>
      </c>
      <c r="AM88" t="s" s="32">
        <v>68</v>
      </c>
      <c r="AN88" t="s" s="32">
        <v>68</v>
      </c>
      <c r="AO88" t="s" s="32">
        <v>68</v>
      </c>
      <c r="AP88" t="s" s="32">
        <v>68</v>
      </c>
      <c r="AQ88" t="s" s="32">
        <v>68</v>
      </c>
      <c r="AR88" t="s" s="32">
        <v>68</v>
      </c>
      <c r="AS88" t="s" s="32">
        <v>68</v>
      </c>
      <c r="AT88" t="s" s="32">
        <v>68</v>
      </c>
      <c r="AU88" t="s" s="32">
        <v>68</v>
      </c>
      <c r="AV88" t="s" s="32">
        <v>68</v>
      </c>
      <c r="AW88" t="s" s="32">
        <v>68</v>
      </c>
      <c r="AX88" t="s" s="32">
        <v>68</v>
      </c>
      <c r="AY88" t="s" s="32">
        <v>68</v>
      </c>
      <c r="AZ88" t="s" s="32">
        <v>68</v>
      </c>
      <c r="BA88" t="s" s="32">
        <v>68</v>
      </c>
      <c r="BB88" t="s" s="32">
        <v>68</v>
      </c>
    </row>
    <row r="89" spans="1:54">
      <c r="B89" s="145">
        <v>88</v>
      </c>
      <c r="C89" t="s" s="114">
        <v>110</v>
      </c>
      <c r="D89" t="s" s="38">
        <v>464</v>
      </c>
      <c r="E89" t="s" s="32">
        <v>68</v>
      </c>
      <c r="F89" t="s" s="32">
        <v>68</v>
      </c>
      <c r="G89" t="s" s="32">
        <v>68</v>
      </c>
      <c r="H89" t="s" s="32">
        <v>68</v>
      </c>
      <c r="I89" t="s" s="32">
        <v>68</v>
      </c>
      <c r="J89" t="s" s="32">
        <v>68</v>
      </c>
      <c r="K89" t="s" s="32">
        <v>68</v>
      </c>
      <c r="L89" t="s" s="32">
        <v>68</v>
      </c>
      <c r="M89" t="s" s="32">
        <v>68</v>
      </c>
      <c r="N89" t="s" s="32">
        <v>68</v>
      </c>
      <c r="O89" t="s" s="32">
        <v>68</v>
      </c>
      <c r="P89" t="s" s="32">
        <v>68</v>
      </c>
      <c r="Q89" t="s" s="32">
        <v>68</v>
      </c>
      <c r="R89" t="s" s="32">
        <v>68</v>
      </c>
      <c r="S89" t="s" s="32">
        <v>68</v>
      </c>
      <c r="T89" t="s" s="32">
        <v>68</v>
      </c>
      <c r="U89" t="s" s="32">
        <v>68</v>
      </c>
      <c r="V89" t="s" s="32">
        <v>68</v>
      </c>
      <c r="W89" t="s" s="32">
        <v>68</v>
      </c>
      <c r="X89" t="s" s="32">
        <v>68</v>
      </c>
      <c r="Y89" t="s" s="32">
        <v>68</v>
      </c>
      <c r="Z89" t="s" s="32">
        <v>68</v>
      </c>
      <c r="AA89" t="s" s="32">
        <v>68</v>
      </c>
      <c r="AB89" t="s" s="32">
        <v>68</v>
      </c>
      <c r="AC89" t="s" s="32">
        <v>68</v>
      </c>
      <c r="AD89" t="s" s="32">
        <v>68</v>
      </c>
      <c r="AE89" t="s" s="32">
        <v>68</v>
      </c>
      <c r="AF89" t="s" s="32">
        <v>68</v>
      </c>
      <c r="AG89" t="s" s="32">
        <v>68</v>
      </c>
      <c r="AH89" t="s" s="32">
        <v>68</v>
      </c>
      <c r="AI89" t="s" s="32">
        <v>68</v>
      </c>
      <c r="AJ89" t="s" s="32">
        <v>68</v>
      </c>
      <c r="AK89" t="s" s="32">
        <v>68</v>
      </c>
      <c r="AL89" t="s" s="32">
        <v>68</v>
      </c>
      <c r="AM89" t="s" s="32">
        <v>68</v>
      </c>
      <c r="AN89" t="s" s="32">
        <v>68</v>
      </c>
      <c r="AO89" t="s" s="32">
        <v>68</v>
      </c>
      <c r="AP89" t="s" s="32">
        <v>68</v>
      </c>
      <c r="AQ89" t="s" s="32">
        <v>68</v>
      </c>
      <c r="AR89" t="s" s="32">
        <v>68</v>
      </c>
      <c r="AS89" t="s" s="32">
        <v>68</v>
      </c>
      <c r="AT89" t="s" s="32">
        <v>68</v>
      </c>
      <c r="AU89" t="s" s="32">
        <v>68</v>
      </c>
      <c r="AV89" t="s" s="32">
        <v>68</v>
      </c>
      <c r="AW89" t="s" s="32">
        <v>68</v>
      </c>
      <c r="AX89" t="s" s="32">
        <v>68</v>
      </c>
      <c r="AY89" t="s" s="32">
        <v>68</v>
      </c>
      <c r="AZ89" t="s" s="32">
        <v>68</v>
      </c>
      <c r="BA89" t="s" s="32">
        <v>68</v>
      </c>
      <c r="BB89" t="s" s="32">
        <v>68</v>
      </c>
    </row>
    <row r="90" spans="1:54">
      <c r="B90" s="145">
        <v>89</v>
      </c>
      <c r="C90" t="s" s="114">
        <v>295</v>
      </c>
      <c r="D90" t="s" s="38">
        <v>756</v>
      </c>
      <c r="E90" t="s" s="32">
        <v>68</v>
      </c>
      <c r="F90" t="s" s="32">
        <v>68</v>
      </c>
      <c r="G90" t="s" s="32">
        <v>68</v>
      </c>
      <c r="H90" t="s" s="32">
        <v>68</v>
      </c>
      <c r="I90" t="s" s="32">
        <v>68</v>
      </c>
      <c r="J90" t="s" s="32">
        <v>68</v>
      </c>
      <c r="K90" t="s" s="32">
        <v>68</v>
      </c>
      <c r="L90" t="s" s="32">
        <v>68</v>
      </c>
      <c r="M90" t="s" s="32">
        <v>68</v>
      </c>
      <c r="N90" t="s" s="32">
        <v>68</v>
      </c>
      <c r="O90" t="s" s="32">
        <v>68</v>
      </c>
      <c r="P90" t="s" s="32">
        <v>68</v>
      </c>
      <c r="Q90" t="s" s="32">
        <v>68</v>
      </c>
      <c r="R90" t="s" s="32">
        <v>68</v>
      </c>
      <c r="S90" t="s" s="32">
        <v>68</v>
      </c>
      <c r="T90" t="s" s="32">
        <v>68</v>
      </c>
      <c r="U90" t="s" s="32">
        <v>68</v>
      </c>
      <c r="V90" t="s" s="32">
        <v>68</v>
      </c>
      <c r="W90" t="s" s="32">
        <v>68</v>
      </c>
      <c r="X90" t="s" s="32">
        <v>68</v>
      </c>
      <c r="Y90" t="s" s="32">
        <v>68</v>
      </c>
      <c r="Z90" t="s" s="32">
        <v>68</v>
      </c>
      <c r="AA90" t="s" s="32">
        <v>68</v>
      </c>
      <c r="AB90" t="s" s="32">
        <v>68</v>
      </c>
      <c r="AC90" t="s" s="32">
        <v>68</v>
      </c>
      <c r="AD90" t="s" s="32">
        <v>68</v>
      </c>
      <c r="AE90" t="s" s="32">
        <v>68</v>
      </c>
      <c r="AF90" t="s" s="32">
        <v>68</v>
      </c>
      <c r="AG90" t="s" s="32">
        <v>68</v>
      </c>
      <c r="AH90" t="s" s="32">
        <v>68</v>
      </c>
      <c r="AI90" t="s" s="32">
        <v>68</v>
      </c>
      <c r="AJ90" t="s" s="32">
        <v>68</v>
      </c>
      <c r="AK90" t="s" s="32">
        <v>68</v>
      </c>
      <c r="AL90" t="s" s="32">
        <v>68</v>
      </c>
      <c r="AM90" t="s" s="32">
        <v>68</v>
      </c>
      <c r="AN90" t="s" s="32">
        <v>68</v>
      </c>
      <c r="AO90" t="s" s="32">
        <v>68</v>
      </c>
      <c r="AP90" t="s" s="32">
        <v>68</v>
      </c>
      <c r="AQ90" t="s" s="32">
        <v>68</v>
      </c>
      <c r="AR90" t="s" s="32">
        <v>68</v>
      </c>
      <c r="AS90" t="s" s="32">
        <v>68</v>
      </c>
      <c r="AT90" t="s" s="32">
        <v>68</v>
      </c>
      <c r="AU90" t="s" s="32">
        <v>68</v>
      </c>
      <c r="AV90" t="s" s="32">
        <v>68</v>
      </c>
      <c r="AW90" t="s" s="32">
        <v>68</v>
      </c>
      <c r="AX90" t="s" s="32">
        <v>68</v>
      </c>
      <c r="AY90" t="s" s="32">
        <v>68</v>
      </c>
      <c r="AZ90" t="s" s="32">
        <v>68</v>
      </c>
      <c r="BA90" t="s" s="32">
        <v>68</v>
      </c>
      <c r="BB90" t="s" s="32">
        <v>68</v>
      </c>
    </row>
    <row r="91" spans="1:54">
      <c r="B91" s="145">
        <v>90</v>
      </c>
      <c r="C91" t="s" s="114">
        <v>1274</v>
      </c>
      <c r="D91" t="s" s="38">
        <v>179</v>
      </c>
      <c r="E91" t="s" s="32">
        <v>68</v>
      </c>
      <c r="F91" t="s" s="32">
        <v>68</v>
      </c>
      <c r="G91" t="s" s="32">
        <v>68</v>
      </c>
      <c r="H91" t="s" s="32">
        <v>68</v>
      </c>
      <c r="I91" t="s" s="32">
        <v>68</v>
      </c>
      <c r="J91" t="s" s="32">
        <v>68</v>
      </c>
      <c r="K91" t="s" s="32">
        <v>68</v>
      </c>
      <c r="L91" t="s" s="32">
        <v>68</v>
      </c>
      <c r="M91" t="s" s="32">
        <v>68</v>
      </c>
      <c r="N91" t="s" s="32">
        <v>68</v>
      </c>
      <c r="O91" t="s" s="32">
        <v>68</v>
      </c>
      <c r="P91" t="s" s="32">
        <v>68</v>
      </c>
      <c r="Q91" t="s" s="32">
        <v>68</v>
      </c>
      <c r="R91" t="s" s="32">
        <v>68</v>
      </c>
      <c r="S91" t="s" s="32">
        <v>68</v>
      </c>
      <c r="T91" t="s" s="32">
        <v>68</v>
      </c>
      <c r="U91" t="s" s="32">
        <v>68</v>
      </c>
      <c r="V91" t="s" s="32">
        <v>68</v>
      </c>
      <c r="W91" t="s" s="32">
        <v>68</v>
      </c>
      <c r="X91" t="s" s="32">
        <v>68</v>
      </c>
      <c r="Y91" t="s" s="32">
        <v>68</v>
      </c>
      <c r="Z91" t="s" s="32">
        <v>68</v>
      </c>
      <c r="AA91" t="s" s="32">
        <v>68</v>
      </c>
      <c r="AB91" t="s" s="32">
        <v>68</v>
      </c>
      <c r="AC91" t="s" s="32">
        <v>68</v>
      </c>
      <c r="AD91" t="s" s="32">
        <v>68</v>
      </c>
      <c r="AE91" t="s" s="32">
        <v>68</v>
      </c>
      <c r="AF91" t="s" s="32">
        <v>68</v>
      </c>
      <c r="AG91" t="s" s="32">
        <v>68</v>
      </c>
      <c r="AH91" t="s" s="32">
        <v>68</v>
      </c>
      <c r="AI91" t="s" s="32">
        <v>68</v>
      </c>
      <c r="AJ91" t="s" s="32">
        <v>68</v>
      </c>
      <c r="AK91" t="s" s="32">
        <v>68</v>
      </c>
      <c r="AL91" t="s" s="32">
        <v>68</v>
      </c>
      <c r="AM91" t="s" s="32">
        <v>68</v>
      </c>
      <c r="AN91" t="s" s="32">
        <v>68</v>
      </c>
      <c r="AO91" t="s" s="32">
        <v>68</v>
      </c>
      <c r="AP91" t="s" s="32">
        <v>68</v>
      </c>
      <c r="AQ91" t="s" s="32">
        <v>68</v>
      </c>
      <c r="AR91" t="s" s="32">
        <v>68</v>
      </c>
      <c r="AS91" t="s" s="32">
        <v>68</v>
      </c>
      <c r="AT91" t="s" s="32">
        <v>68</v>
      </c>
      <c r="AU91" t="s" s="32">
        <v>68</v>
      </c>
      <c r="AV91" t="s" s="32">
        <v>68</v>
      </c>
      <c r="AW91" t="s" s="32">
        <v>68</v>
      </c>
      <c r="AX91" t="s" s="32">
        <v>68</v>
      </c>
      <c r="AY91" t="s" s="32">
        <v>68</v>
      </c>
      <c r="AZ91" t="s" s="32">
        <v>68</v>
      </c>
      <c r="BA91" t="s" s="32">
        <v>68</v>
      </c>
      <c r="BB91" t="s" s="32">
        <v>68</v>
      </c>
    </row>
    <row r="92" spans="1:54">
      <c r="B92" s="145">
        <v>91</v>
      </c>
      <c r="C92" t="s" s="114">
        <v>676</v>
      </c>
      <c r="D92" t="s" s="38">
        <v>1663</v>
      </c>
      <c r="E92" t="s" s="32">
        <v>68</v>
      </c>
      <c r="F92" t="s" s="32">
        <v>68</v>
      </c>
      <c r="G92" t="s" s="32">
        <v>68</v>
      </c>
      <c r="H92" t="s" s="32">
        <v>68</v>
      </c>
      <c r="I92" t="s" s="32">
        <v>68</v>
      </c>
      <c r="J92" t="s" s="32">
        <v>68</v>
      </c>
      <c r="K92" t="s" s="32">
        <v>68</v>
      </c>
      <c r="L92" t="s" s="32">
        <v>68</v>
      </c>
      <c r="M92" t="s" s="32">
        <v>68</v>
      </c>
      <c r="N92" t="s" s="32">
        <v>68</v>
      </c>
      <c r="O92" t="s" s="32">
        <v>68</v>
      </c>
      <c r="P92" t="s" s="32">
        <v>68</v>
      </c>
      <c r="Q92" t="s" s="32">
        <v>68</v>
      </c>
      <c r="R92" t="s" s="32">
        <v>68</v>
      </c>
      <c r="S92" t="s" s="32">
        <v>68</v>
      </c>
      <c r="T92" t="s" s="32">
        <v>68</v>
      </c>
      <c r="U92" t="s" s="32">
        <v>68</v>
      </c>
      <c r="V92" t="s" s="32">
        <v>68</v>
      </c>
      <c r="W92" t="s" s="32">
        <v>68</v>
      </c>
      <c r="X92" t="s" s="32">
        <v>68</v>
      </c>
      <c r="Y92" t="s" s="32">
        <v>68</v>
      </c>
      <c r="Z92" t="s" s="32">
        <v>68</v>
      </c>
      <c r="AA92" t="s" s="32">
        <v>68</v>
      </c>
      <c r="AB92" t="s" s="32">
        <v>68</v>
      </c>
      <c r="AC92" t="s" s="32">
        <v>68</v>
      </c>
      <c r="AD92" t="s" s="32">
        <v>68</v>
      </c>
      <c r="AE92" t="s" s="32">
        <v>68</v>
      </c>
      <c r="AF92" t="s" s="32">
        <v>68</v>
      </c>
      <c r="AG92" t="s" s="32">
        <v>68</v>
      </c>
      <c r="AH92" t="s" s="32">
        <v>68</v>
      </c>
      <c r="AI92" t="s" s="32">
        <v>68</v>
      </c>
      <c r="AJ92" t="s" s="32">
        <v>68</v>
      </c>
      <c r="AK92" t="s" s="32">
        <v>68</v>
      </c>
      <c r="AL92" t="s" s="32">
        <v>68</v>
      </c>
      <c r="AM92" t="s" s="32">
        <v>68</v>
      </c>
      <c r="AN92" t="s" s="32">
        <v>68</v>
      </c>
      <c r="AO92" t="s" s="32">
        <v>68</v>
      </c>
      <c r="AP92" t="s" s="32">
        <v>68</v>
      </c>
      <c r="AQ92" t="s" s="32">
        <v>68</v>
      </c>
      <c r="AR92" t="s" s="32">
        <v>68</v>
      </c>
      <c r="AS92" t="s" s="32">
        <v>68</v>
      </c>
      <c r="AT92" t="s" s="32">
        <v>68</v>
      </c>
      <c r="AU92" t="s" s="32">
        <v>68</v>
      </c>
      <c r="AV92" t="s" s="32">
        <v>68</v>
      </c>
      <c r="AW92" t="s" s="32">
        <v>68</v>
      </c>
      <c r="AX92" t="s" s="32">
        <v>68</v>
      </c>
      <c r="AY92" t="s" s="32">
        <v>68</v>
      </c>
      <c r="AZ92" t="s" s="32">
        <v>68</v>
      </c>
      <c r="BA92" t="s" s="32">
        <v>68</v>
      </c>
      <c r="BB92" t="s" s="32">
        <v>68</v>
      </c>
    </row>
    <row r="93" spans="1:54">
      <c r="B93" s="145">
        <v>92</v>
      </c>
      <c r="C93" t="s" s="114">
        <v>284</v>
      </c>
      <c r="D93" t="s" s="38">
        <v>4</v>
      </c>
      <c r="E93" t="s" s="32">
        <v>68</v>
      </c>
      <c r="F93" t="s" s="32">
        <v>68</v>
      </c>
      <c r="G93" t="s" s="32">
        <v>68</v>
      </c>
      <c r="H93" t="s" s="32">
        <v>68</v>
      </c>
      <c r="I93" t="s" s="32">
        <v>68</v>
      </c>
      <c r="J93" t="s" s="32">
        <v>68</v>
      </c>
      <c r="K93" t="s" s="32">
        <v>68</v>
      </c>
      <c r="L93" t="s" s="32">
        <v>68</v>
      </c>
      <c r="M93" t="s" s="32">
        <v>68</v>
      </c>
      <c r="N93" t="s" s="32">
        <v>68</v>
      </c>
      <c r="O93" t="s" s="32">
        <v>68</v>
      </c>
      <c r="P93" t="s" s="32">
        <v>68</v>
      </c>
      <c r="Q93" t="s" s="32">
        <v>68</v>
      </c>
      <c r="R93" t="s" s="32">
        <v>68</v>
      </c>
      <c r="S93" t="s" s="32">
        <v>68</v>
      </c>
      <c r="T93" t="s" s="32">
        <v>68</v>
      </c>
      <c r="U93" t="s" s="32">
        <v>68</v>
      </c>
      <c r="V93" t="s" s="32">
        <v>68</v>
      </c>
      <c r="W93" t="s" s="32">
        <v>68</v>
      </c>
      <c r="X93" t="s" s="32">
        <v>68</v>
      </c>
      <c r="Y93" t="s" s="32">
        <v>68</v>
      </c>
      <c r="Z93" t="s" s="32">
        <v>68</v>
      </c>
      <c r="AA93" t="s" s="32">
        <v>68</v>
      </c>
      <c r="AB93" t="s" s="32">
        <v>68</v>
      </c>
      <c r="AC93" t="s" s="32">
        <v>68</v>
      </c>
      <c r="AD93" t="s" s="32">
        <v>68</v>
      </c>
      <c r="AE93" t="s" s="32">
        <v>68</v>
      </c>
      <c r="AF93" t="s" s="32">
        <v>68</v>
      </c>
      <c r="AG93" t="s" s="32">
        <v>68</v>
      </c>
      <c r="AH93" t="s" s="32">
        <v>68</v>
      </c>
      <c r="AI93" t="s" s="32">
        <v>68</v>
      </c>
      <c r="AJ93" t="s" s="32">
        <v>68</v>
      </c>
      <c r="AK93" t="s" s="32">
        <v>68</v>
      </c>
      <c r="AL93" t="s" s="32">
        <v>68</v>
      </c>
      <c r="AM93" t="s" s="32">
        <v>68</v>
      </c>
      <c r="AN93" t="s" s="32">
        <v>68</v>
      </c>
      <c r="AO93" t="s" s="32">
        <v>68</v>
      </c>
      <c r="AP93" t="s" s="32">
        <v>68</v>
      </c>
      <c r="AQ93" t="s" s="32">
        <v>68</v>
      </c>
      <c r="AR93" t="s" s="32">
        <v>68</v>
      </c>
      <c r="AS93" t="s" s="32">
        <v>68</v>
      </c>
      <c r="AT93" t="s" s="32">
        <v>68</v>
      </c>
      <c r="AU93" t="s" s="32">
        <v>68</v>
      </c>
      <c r="AV93" t="s" s="32">
        <v>68</v>
      </c>
      <c r="AW93" t="s" s="32">
        <v>68</v>
      </c>
      <c r="AX93" t="s" s="32">
        <v>68</v>
      </c>
      <c r="AY93" t="s" s="32">
        <v>68</v>
      </c>
      <c r="AZ93" t="s" s="32">
        <v>68</v>
      </c>
      <c r="BA93" t="s" s="32">
        <v>68</v>
      </c>
      <c r="BB93" t="s" s="32">
        <v>68</v>
      </c>
    </row>
    <row r="94" spans="1:54">
      <c r="B94" s="145">
        <v>93</v>
      </c>
      <c r="C94" t="s" s="114">
        <v>1675</v>
      </c>
      <c r="D94" t="s" s="38">
        <v>1380</v>
      </c>
      <c r="E94" t="s" s="32">
        <v>68</v>
      </c>
      <c r="F94" t="s" s="32">
        <v>68</v>
      </c>
      <c r="G94" t="s" s="32">
        <v>68</v>
      </c>
      <c r="H94" t="s" s="32">
        <v>68</v>
      </c>
      <c r="I94" t="s" s="32">
        <v>68</v>
      </c>
      <c r="J94" t="s" s="32">
        <v>68</v>
      </c>
      <c r="K94" t="s" s="32">
        <v>68</v>
      </c>
      <c r="L94" t="s" s="32">
        <v>68</v>
      </c>
      <c r="M94" t="s" s="32">
        <v>68</v>
      </c>
      <c r="N94" t="s" s="32">
        <v>68</v>
      </c>
      <c r="O94" t="s" s="32">
        <v>68</v>
      </c>
      <c r="P94" t="s" s="32">
        <v>68</v>
      </c>
      <c r="Q94" t="s" s="32">
        <v>68</v>
      </c>
      <c r="R94" t="s" s="32">
        <v>68</v>
      </c>
      <c r="S94" t="s" s="32">
        <v>68</v>
      </c>
      <c r="T94" t="s" s="32">
        <v>68</v>
      </c>
      <c r="U94" t="s" s="32">
        <v>68</v>
      </c>
      <c r="V94" t="s" s="32">
        <v>68</v>
      </c>
      <c r="W94" t="s" s="32">
        <v>68</v>
      </c>
      <c r="X94" t="s" s="32">
        <v>68</v>
      </c>
      <c r="Y94" t="s" s="32">
        <v>68</v>
      </c>
      <c r="Z94" t="s" s="32">
        <v>68</v>
      </c>
      <c r="AA94" t="s" s="32">
        <v>68</v>
      </c>
      <c r="AB94" t="s" s="32">
        <v>68</v>
      </c>
      <c r="AC94" t="s" s="32">
        <v>68</v>
      </c>
      <c r="AD94" t="s" s="32">
        <v>68</v>
      </c>
      <c r="AE94" t="s" s="32">
        <v>68</v>
      </c>
      <c r="AF94" t="s" s="32">
        <v>68</v>
      </c>
      <c r="AG94" t="s" s="32">
        <v>68</v>
      </c>
      <c r="AH94" t="s" s="32">
        <v>68</v>
      </c>
      <c r="AI94" t="s" s="32">
        <v>68</v>
      </c>
      <c r="AJ94" t="s" s="32">
        <v>68</v>
      </c>
      <c r="AK94" t="s" s="32">
        <v>68</v>
      </c>
      <c r="AL94" t="s" s="32">
        <v>68</v>
      </c>
      <c r="AM94" t="s" s="32">
        <v>68</v>
      </c>
      <c r="AN94" t="s" s="32">
        <v>68</v>
      </c>
      <c r="AO94" t="s" s="32">
        <v>68</v>
      </c>
      <c r="AP94" t="s" s="32">
        <v>68</v>
      </c>
      <c r="AQ94" t="s" s="32">
        <v>68</v>
      </c>
      <c r="AR94" t="s" s="32">
        <v>68</v>
      </c>
      <c r="AS94" t="s" s="32">
        <v>68</v>
      </c>
      <c r="AT94" t="s" s="32">
        <v>68</v>
      </c>
      <c r="AU94" t="s" s="32">
        <v>68</v>
      </c>
      <c r="AV94" t="s" s="32">
        <v>68</v>
      </c>
      <c r="AW94" t="s" s="32">
        <v>68</v>
      </c>
      <c r="AX94" t="s" s="32">
        <v>68</v>
      </c>
      <c r="AY94" t="s" s="32">
        <v>68</v>
      </c>
      <c r="AZ94" t="s" s="32">
        <v>68</v>
      </c>
      <c r="BA94" t="s" s="32">
        <v>68</v>
      </c>
      <c r="BB94" t="s" s="32">
        <v>68</v>
      </c>
    </row>
    <row r="95" spans="1:54">
      <c r="B95" s="145">
        <v>94</v>
      </c>
      <c r="C95" t="s" s="114">
        <v>194</v>
      </c>
      <c r="D95" t="s" s="38">
        <v>179</v>
      </c>
      <c r="E95" t="s" s="32">
        <v>68</v>
      </c>
      <c r="F95" t="s" s="32">
        <v>68</v>
      </c>
      <c r="G95" t="s" s="32">
        <v>68</v>
      </c>
      <c r="H95" t="s" s="32">
        <v>68</v>
      </c>
      <c r="I95" t="s" s="32">
        <v>68</v>
      </c>
      <c r="J95" t="s" s="32">
        <v>68</v>
      </c>
      <c r="K95" t="s" s="32">
        <v>68</v>
      </c>
      <c r="L95" t="s" s="32">
        <v>68</v>
      </c>
      <c r="M95" t="s" s="32">
        <v>68</v>
      </c>
      <c r="N95" t="s" s="32">
        <v>68</v>
      </c>
      <c r="O95" t="s" s="32">
        <v>68</v>
      </c>
      <c r="P95" t="s" s="32">
        <v>68</v>
      </c>
      <c r="Q95" t="s" s="32">
        <v>68</v>
      </c>
      <c r="R95" t="s" s="32">
        <v>68</v>
      </c>
      <c r="S95" t="s" s="32">
        <v>68</v>
      </c>
      <c r="T95" t="s" s="32">
        <v>68</v>
      </c>
      <c r="U95" t="s" s="32">
        <v>68</v>
      </c>
      <c r="V95" t="s" s="32">
        <v>68</v>
      </c>
      <c r="W95" t="s" s="32">
        <v>68</v>
      </c>
      <c r="X95" t="s" s="32">
        <v>68</v>
      </c>
      <c r="Y95" t="s" s="32">
        <v>68</v>
      </c>
      <c r="Z95" t="s" s="32">
        <v>68</v>
      </c>
      <c r="AA95" t="s" s="32">
        <v>68</v>
      </c>
      <c r="AB95" t="s" s="32">
        <v>68</v>
      </c>
      <c r="AC95" t="s" s="32">
        <v>68</v>
      </c>
      <c r="AD95" t="s" s="32">
        <v>68</v>
      </c>
      <c r="AE95" t="s" s="32">
        <v>68</v>
      </c>
      <c r="AF95" t="s" s="32">
        <v>68</v>
      </c>
      <c r="AG95" t="s" s="32">
        <v>68</v>
      </c>
      <c r="AH95" t="s" s="32">
        <v>68</v>
      </c>
      <c r="AI95" t="s" s="32">
        <v>68</v>
      </c>
      <c r="AJ95" t="s" s="32">
        <v>68</v>
      </c>
      <c r="AK95" t="s" s="32">
        <v>68</v>
      </c>
      <c r="AL95" t="s" s="32">
        <v>68</v>
      </c>
      <c r="AM95" t="s" s="32">
        <v>68</v>
      </c>
      <c r="AN95" t="s" s="32">
        <v>68</v>
      </c>
      <c r="AO95" t="s" s="32">
        <v>68</v>
      </c>
      <c r="AP95" t="s" s="32">
        <v>68</v>
      </c>
      <c r="AQ95" t="s" s="32">
        <v>68</v>
      </c>
      <c r="AR95" t="s" s="32">
        <v>68</v>
      </c>
      <c r="AS95" t="s" s="32">
        <v>68</v>
      </c>
      <c r="AT95" t="s" s="32">
        <v>68</v>
      </c>
      <c r="AU95" t="s" s="32">
        <v>68</v>
      </c>
      <c r="AV95" t="s" s="32">
        <v>68</v>
      </c>
      <c r="AW95" t="s" s="32">
        <v>68</v>
      </c>
      <c r="AX95" t="s" s="32">
        <v>68</v>
      </c>
      <c r="AY95" t="s" s="32">
        <v>68</v>
      </c>
      <c r="AZ95" t="s" s="32">
        <v>68</v>
      </c>
      <c r="BA95" t="s" s="32">
        <v>68</v>
      </c>
      <c r="BB95" t="s" s="32">
        <v>68</v>
      </c>
    </row>
    <row r="96" spans="1:54" ht="24">
      <c r="B96" s="145">
        <v>95</v>
      </c>
      <c r="C96" t="s" s="114">
        <v>941</v>
      </c>
      <c r="D96" t="s" s="38">
        <v>1468</v>
      </c>
      <c r="E96" t="s" s="32">
        <v>68</v>
      </c>
      <c r="F96" t="s" s="32">
        <v>68</v>
      </c>
      <c r="G96" t="s" s="32">
        <v>68</v>
      </c>
      <c r="H96" t="s" s="32">
        <v>68</v>
      </c>
      <c r="I96" t="s" s="32">
        <v>68</v>
      </c>
      <c r="J96" t="s" s="32">
        <v>68</v>
      </c>
      <c r="K96" t="s" s="32">
        <v>68</v>
      </c>
      <c r="L96" t="s" s="32">
        <v>68</v>
      </c>
      <c r="M96" t="s" s="32">
        <v>68</v>
      </c>
      <c r="N96" t="s" s="32">
        <v>68</v>
      </c>
      <c r="O96" t="s" s="32">
        <v>68</v>
      </c>
      <c r="P96" t="s" s="32">
        <v>68</v>
      </c>
      <c r="Q96" t="s" s="32">
        <v>68</v>
      </c>
      <c r="R96" t="s" s="32">
        <v>68</v>
      </c>
      <c r="S96" t="s" s="32">
        <v>68</v>
      </c>
      <c r="T96" t="s" s="32">
        <v>68</v>
      </c>
      <c r="U96" t="s" s="32">
        <v>68</v>
      </c>
      <c r="V96" t="s" s="32">
        <v>68</v>
      </c>
      <c r="W96" t="s" s="32">
        <v>68</v>
      </c>
      <c r="X96" t="s" s="32">
        <v>68</v>
      </c>
      <c r="Y96" t="s" s="32">
        <v>68</v>
      </c>
      <c r="Z96" t="s" s="32">
        <v>68</v>
      </c>
      <c r="AA96" t="s" s="32">
        <v>68</v>
      </c>
      <c r="AB96" t="s" s="32">
        <v>68</v>
      </c>
      <c r="AC96" t="s" s="32">
        <v>68</v>
      </c>
      <c r="AD96" t="s" s="32">
        <v>68</v>
      </c>
      <c r="AE96" t="s" s="32">
        <v>68</v>
      </c>
      <c r="AF96" t="s" s="32">
        <v>68</v>
      </c>
      <c r="AG96" t="s" s="32">
        <v>68</v>
      </c>
      <c r="AH96" t="s" s="32">
        <v>68</v>
      </c>
      <c r="AI96" t="s" s="32">
        <v>68</v>
      </c>
      <c r="AJ96" t="s" s="32">
        <v>68</v>
      </c>
      <c r="AK96" t="s" s="32">
        <v>68</v>
      </c>
      <c r="AL96" t="s" s="32">
        <v>68</v>
      </c>
      <c r="AM96" t="s" s="32">
        <v>68</v>
      </c>
      <c r="AN96" t="s" s="32">
        <v>68</v>
      </c>
      <c r="AO96" t="s" s="32">
        <v>68</v>
      </c>
      <c r="AP96" t="s" s="32">
        <v>68</v>
      </c>
      <c r="AQ96" t="s" s="32">
        <v>68</v>
      </c>
      <c r="AR96" t="s" s="32">
        <v>68</v>
      </c>
      <c r="AS96" t="s" s="32">
        <v>68</v>
      </c>
      <c r="AT96" t="s" s="32">
        <v>68</v>
      </c>
      <c r="AU96" t="s" s="32">
        <v>68</v>
      </c>
      <c r="AV96" t="s" s="32">
        <v>68</v>
      </c>
      <c r="AW96" t="s" s="32">
        <v>68</v>
      </c>
      <c r="AX96" t="s" s="32">
        <v>68</v>
      </c>
      <c r="AY96" t="s" s="32">
        <v>68</v>
      </c>
      <c r="AZ96" t="s" s="32">
        <v>68</v>
      </c>
      <c r="BA96" t="s" s="32">
        <v>68</v>
      </c>
      <c r="BB96" t="s" s="32">
        <v>68</v>
      </c>
    </row>
    <row r="97" spans="1:54">
      <c r="B97" s="145">
        <v>96</v>
      </c>
      <c r="C97" t="s" s="114">
        <v>413</v>
      </c>
      <c r="D97" t="s" s="38">
        <v>1380</v>
      </c>
      <c r="E97" t="s" s="32">
        <v>68</v>
      </c>
      <c r="F97" t="s" s="32">
        <v>68</v>
      </c>
      <c r="G97" t="s" s="32">
        <v>68</v>
      </c>
      <c r="H97" t="s" s="32">
        <v>68</v>
      </c>
      <c r="I97" t="s" s="32">
        <v>68</v>
      </c>
      <c r="J97" t="s" s="32">
        <v>68</v>
      </c>
      <c r="K97" t="s" s="32">
        <v>68</v>
      </c>
      <c r="L97" t="s" s="32">
        <v>68</v>
      </c>
      <c r="M97" t="s" s="32">
        <v>68</v>
      </c>
      <c r="N97" t="s" s="32">
        <v>68</v>
      </c>
      <c r="O97" t="s" s="32">
        <v>68</v>
      </c>
      <c r="P97" t="s" s="32">
        <v>68</v>
      </c>
      <c r="Q97" t="s" s="32">
        <v>68</v>
      </c>
      <c r="R97" t="s" s="32">
        <v>68</v>
      </c>
      <c r="S97" t="s" s="32">
        <v>68</v>
      </c>
      <c r="T97" t="s" s="32">
        <v>68</v>
      </c>
      <c r="U97" t="s" s="32">
        <v>68</v>
      </c>
      <c r="V97" t="s" s="32">
        <v>68</v>
      </c>
      <c r="W97" t="s" s="32">
        <v>68</v>
      </c>
      <c r="X97" t="s" s="32">
        <v>68</v>
      </c>
      <c r="Y97" t="s" s="32">
        <v>68</v>
      </c>
      <c r="Z97" t="s" s="32">
        <v>68</v>
      </c>
      <c r="AA97" t="s" s="32">
        <v>68</v>
      </c>
      <c r="AB97" t="s" s="32">
        <v>68</v>
      </c>
      <c r="AC97" t="s" s="32">
        <v>68</v>
      </c>
      <c r="AD97" t="s" s="32">
        <v>68</v>
      </c>
      <c r="AE97" t="s" s="32">
        <v>68</v>
      </c>
      <c r="AF97" t="s" s="32">
        <v>68</v>
      </c>
      <c r="AG97" t="s" s="32">
        <v>68</v>
      </c>
      <c r="AH97" t="s" s="32">
        <v>68</v>
      </c>
      <c r="AI97" t="s" s="32">
        <v>68</v>
      </c>
      <c r="AJ97" t="s" s="32">
        <v>68</v>
      </c>
      <c r="AK97" t="s" s="32">
        <v>68</v>
      </c>
      <c r="AL97" t="s" s="32">
        <v>68</v>
      </c>
      <c r="AM97" t="s" s="32">
        <v>68</v>
      </c>
      <c r="AN97" t="s" s="32">
        <v>68</v>
      </c>
      <c r="AO97" t="s" s="32">
        <v>68</v>
      </c>
      <c r="AP97" t="s" s="32">
        <v>68</v>
      </c>
      <c r="AQ97" t="s" s="32">
        <v>68</v>
      </c>
      <c r="AR97" t="s" s="32">
        <v>68</v>
      </c>
      <c r="AS97" t="s" s="32">
        <v>68</v>
      </c>
      <c r="AT97" t="s" s="32">
        <v>68</v>
      </c>
      <c r="AU97" t="s" s="32">
        <v>68</v>
      </c>
      <c r="AV97" t="s" s="32">
        <v>68</v>
      </c>
      <c r="AW97" t="s" s="32">
        <v>68</v>
      </c>
      <c r="AX97" t="s" s="32">
        <v>68</v>
      </c>
      <c r="AY97" t="s" s="32">
        <v>68</v>
      </c>
      <c r="AZ97" t="s" s="32">
        <v>68</v>
      </c>
      <c r="BA97" t="s" s="32">
        <v>68</v>
      </c>
      <c r="BB97" t="s" s="32">
        <v>68</v>
      </c>
    </row>
    <row r="98" spans="1:54" ht="24">
      <c r="B98" s="145">
        <v>97</v>
      </c>
      <c r="C98" t="s" s="114">
        <v>268</v>
      </c>
      <c r="D98" t="s" s="38">
        <v>1778</v>
      </c>
      <c r="E98" t="s" s="32">
        <v>68</v>
      </c>
      <c r="F98" t="s" s="32">
        <v>68</v>
      </c>
      <c r="G98" t="s" s="32">
        <v>68</v>
      </c>
      <c r="H98" t="s" s="32">
        <v>68</v>
      </c>
      <c r="I98" t="s" s="32">
        <v>68</v>
      </c>
      <c r="J98" t="s" s="32">
        <v>68</v>
      </c>
      <c r="K98" t="s" s="32">
        <v>68</v>
      </c>
      <c r="L98" t="s" s="32">
        <v>68</v>
      </c>
      <c r="M98" t="s" s="32">
        <v>68</v>
      </c>
      <c r="N98" t="s" s="32">
        <v>68</v>
      </c>
      <c r="O98" t="s" s="32">
        <v>68</v>
      </c>
      <c r="P98" t="s" s="32">
        <v>68</v>
      </c>
      <c r="Q98" t="s" s="32">
        <v>68</v>
      </c>
      <c r="R98" t="s" s="32">
        <v>68</v>
      </c>
      <c r="S98" t="s" s="32">
        <v>68</v>
      </c>
      <c r="T98" t="s" s="32">
        <v>68</v>
      </c>
      <c r="U98" t="s" s="32">
        <v>68</v>
      </c>
      <c r="V98" t="s" s="32">
        <v>68</v>
      </c>
      <c r="W98" t="s" s="32">
        <v>68</v>
      </c>
      <c r="X98" t="s" s="32">
        <v>68</v>
      </c>
      <c r="Y98" t="s" s="32">
        <v>68</v>
      </c>
      <c r="Z98" t="s" s="32">
        <v>68</v>
      </c>
      <c r="AA98" t="s" s="32">
        <v>68</v>
      </c>
      <c r="AB98" t="s" s="32">
        <v>68</v>
      </c>
      <c r="AC98" t="s" s="32">
        <v>68</v>
      </c>
      <c r="AD98" t="s" s="32">
        <v>68</v>
      </c>
      <c r="AE98" t="s" s="32">
        <v>68</v>
      </c>
      <c r="AF98" t="s" s="32">
        <v>68</v>
      </c>
      <c r="AG98" t="s" s="32">
        <v>68</v>
      </c>
      <c r="AH98" t="s" s="32">
        <v>68</v>
      </c>
      <c r="AI98" t="s" s="32">
        <v>68</v>
      </c>
      <c r="AJ98" t="s" s="32">
        <v>68</v>
      </c>
      <c r="AK98" t="s" s="32">
        <v>68</v>
      </c>
      <c r="AL98" t="s" s="32">
        <v>68</v>
      </c>
      <c r="AM98" t="s" s="32">
        <v>68</v>
      </c>
      <c r="AN98" t="s" s="32">
        <v>68</v>
      </c>
      <c r="AO98" t="s" s="32">
        <v>68</v>
      </c>
      <c r="AP98" t="s" s="32">
        <v>68</v>
      </c>
      <c r="AQ98" t="s" s="32">
        <v>68</v>
      </c>
      <c r="AR98" t="s" s="32">
        <v>68</v>
      </c>
      <c r="AS98" t="s" s="32">
        <v>68</v>
      </c>
      <c r="AT98" t="s" s="32">
        <v>68</v>
      </c>
      <c r="AU98" t="s" s="32">
        <v>68</v>
      </c>
      <c r="AV98" t="s" s="32">
        <v>68</v>
      </c>
      <c r="AW98" t="s" s="32">
        <v>68</v>
      </c>
      <c r="AX98" t="s" s="32">
        <v>68</v>
      </c>
      <c r="AY98" t="s" s="32">
        <v>68</v>
      </c>
      <c r="AZ98" t="s" s="32">
        <v>68</v>
      </c>
      <c r="BA98" t="s" s="32">
        <v>68</v>
      </c>
      <c r="BB98" t="s" s="32">
        <v>68</v>
      </c>
    </row>
    <row r="99" spans="1:54">
      <c r="B99" s="145">
        <v>98</v>
      </c>
      <c r="C99" t="s" s="114">
        <v>389</v>
      </c>
      <c r="D99" t="s" s="38">
        <v>1380</v>
      </c>
      <c r="E99" t="s" s="32">
        <v>68</v>
      </c>
      <c r="F99" t="s" s="32">
        <v>68</v>
      </c>
      <c r="G99" t="s" s="32">
        <v>68</v>
      </c>
      <c r="H99" t="s" s="32">
        <v>68</v>
      </c>
      <c r="I99" t="s" s="32">
        <v>68</v>
      </c>
      <c r="J99" t="s" s="32">
        <v>68</v>
      </c>
      <c r="K99" t="s" s="32">
        <v>68</v>
      </c>
      <c r="L99" t="s" s="32">
        <v>68</v>
      </c>
      <c r="M99" t="s" s="32">
        <v>68</v>
      </c>
      <c r="N99" t="s" s="32">
        <v>68</v>
      </c>
      <c r="O99" t="s" s="32">
        <v>68</v>
      </c>
      <c r="P99" t="s" s="32">
        <v>68</v>
      </c>
      <c r="Q99" t="s" s="32">
        <v>68</v>
      </c>
      <c r="R99" t="s" s="32">
        <v>68</v>
      </c>
      <c r="S99" t="s" s="32">
        <v>68</v>
      </c>
      <c r="T99" t="s" s="32">
        <v>68</v>
      </c>
      <c r="U99" t="s" s="32">
        <v>68</v>
      </c>
      <c r="V99" t="s" s="32">
        <v>68</v>
      </c>
      <c r="W99" t="s" s="32">
        <v>68</v>
      </c>
      <c r="X99" t="s" s="32">
        <v>68</v>
      </c>
      <c r="Y99" t="s" s="32">
        <v>68</v>
      </c>
      <c r="Z99" t="s" s="32">
        <v>68</v>
      </c>
      <c r="AA99" t="s" s="32">
        <v>68</v>
      </c>
      <c r="AB99" t="s" s="32">
        <v>68</v>
      </c>
      <c r="AC99" t="s" s="32">
        <v>68</v>
      </c>
      <c r="AD99" t="s" s="32">
        <v>68</v>
      </c>
      <c r="AE99" t="s" s="32">
        <v>68</v>
      </c>
      <c r="AF99" t="s" s="32">
        <v>68</v>
      </c>
      <c r="AG99" t="s" s="32">
        <v>68</v>
      </c>
      <c r="AH99" t="s" s="32">
        <v>68</v>
      </c>
      <c r="AI99" t="s" s="32">
        <v>68</v>
      </c>
      <c r="AJ99" t="s" s="32">
        <v>68</v>
      </c>
      <c r="AK99" t="s" s="32">
        <v>68</v>
      </c>
      <c r="AL99" t="s" s="32">
        <v>68</v>
      </c>
      <c r="AM99" t="s" s="32">
        <v>68</v>
      </c>
      <c r="AN99" t="s" s="32">
        <v>68</v>
      </c>
      <c r="AO99" t="s" s="32">
        <v>68</v>
      </c>
      <c r="AP99" t="s" s="32">
        <v>68</v>
      </c>
      <c r="AQ99" t="s" s="32">
        <v>68</v>
      </c>
      <c r="AR99" t="s" s="32">
        <v>68</v>
      </c>
      <c r="AS99" t="s" s="32">
        <v>68</v>
      </c>
      <c r="AT99" t="s" s="32">
        <v>68</v>
      </c>
      <c r="AU99" t="s" s="32">
        <v>68</v>
      </c>
      <c r="AV99" t="s" s="32">
        <v>68</v>
      </c>
      <c r="AW99" t="s" s="32">
        <v>68</v>
      </c>
      <c r="AX99" t="s" s="32">
        <v>68</v>
      </c>
      <c r="AY99" t="s" s="32">
        <v>68</v>
      </c>
      <c r="AZ99" t="s" s="32">
        <v>68</v>
      </c>
      <c r="BA99" t="s" s="32">
        <v>68</v>
      </c>
      <c r="BB99" t="s" s="32">
        <v>68</v>
      </c>
    </row>
    <row r="100" spans="1:54">
      <c r="B100" s="145">
        <v>99</v>
      </c>
      <c r="C100" t="s" s="114">
        <v>1747</v>
      </c>
      <c r="D100" t="s" s="38">
        <v>1380</v>
      </c>
      <c r="E100" t="s" s="32">
        <v>68</v>
      </c>
      <c r="F100" t="s" s="32">
        <v>68</v>
      </c>
      <c r="G100" t="s" s="32">
        <v>68</v>
      </c>
      <c r="H100" t="s" s="32">
        <v>68</v>
      </c>
      <c r="I100" t="s" s="32">
        <v>68</v>
      </c>
      <c r="J100" t="s" s="32">
        <v>68</v>
      </c>
      <c r="K100" t="s" s="32">
        <v>68</v>
      </c>
      <c r="L100" t="s" s="32">
        <v>68</v>
      </c>
      <c r="M100" t="s" s="32">
        <v>68</v>
      </c>
      <c r="N100" t="s" s="32">
        <v>68</v>
      </c>
      <c r="O100" t="s" s="32">
        <v>68</v>
      </c>
      <c r="P100" t="s" s="32">
        <v>68</v>
      </c>
      <c r="Q100" t="s" s="32">
        <v>68</v>
      </c>
      <c r="R100" t="s" s="32">
        <v>68</v>
      </c>
      <c r="S100" t="s" s="32">
        <v>68</v>
      </c>
      <c r="T100" t="s" s="32">
        <v>68</v>
      </c>
      <c r="U100" t="s" s="32">
        <v>68</v>
      </c>
      <c r="V100" t="s" s="32">
        <v>68</v>
      </c>
      <c r="W100" t="s" s="32">
        <v>68</v>
      </c>
      <c r="X100" t="s" s="32">
        <v>68</v>
      </c>
      <c r="Y100" t="s" s="32">
        <v>68</v>
      </c>
      <c r="Z100" t="s" s="32">
        <v>68</v>
      </c>
      <c r="AA100" t="s" s="32">
        <v>68</v>
      </c>
      <c r="AB100" t="s" s="32">
        <v>68</v>
      </c>
      <c r="AC100" t="s" s="32">
        <v>68</v>
      </c>
      <c r="AD100" t="s" s="32">
        <v>68</v>
      </c>
      <c r="AE100" t="s" s="32">
        <v>68</v>
      </c>
      <c r="AF100" t="s" s="32">
        <v>68</v>
      </c>
      <c r="AG100" t="s" s="32">
        <v>68</v>
      </c>
      <c r="AH100" t="s" s="32">
        <v>68</v>
      </c>
      <c r="AI100" t="s" s="32">
        <v>68</v>
      </c>
      <c r="AJ100" t="s" s="32">
        <v>68</v>
      </c>
      <c r="AK100" t="s" s="32">
        <v>68</v>
      </c>
      <c r="AL100" t="s" s="32">
        <v>68</v>
      </c>
      <c r="AM100" t="s" s="32">
        <v>68</v>
      </c>
      <c r="AN100" t="s" s="32">
        <v>68</v>
      </c>
      <c r="AO100" t="s" s="32">
        <v>68</v>
      </c>
      <c r="AP100" t="s" s="32">
        <v>68</v>
      </c>
      <c r="AQ100" t="s" s="32">
        <v>68</v>
      </c>
      <c r="AR100" t="s" s="32">
        <v>68</v>
      </c>
      <c r="AS100" t="s" s="32">
        <v>68</v>
      </c>
      <c r="AT100" t="s" s="32">
        <v>68</v>
      </c>
      <c r="AU100" t="s" s="32">
        <v>68</v>
      </c>
      <c r="AV100" t="s" s="32">
        <v>68</v>
      </c>
      <c r="AW100" t="s" s="32">
        <v>68</v>
      </c>
      <c r="AX100" t="s" s="32">
        <v>68</v>
      </c>
      <c r="AY100" t="s" s="32">
        <v>68</v>
      </c>
      <c r="AZ100" t="s" s="32">
        <v>68</v>
      </c>
      <c r="BA100" t="s" s="32">
        <v>68</v>
      </c>
      <c r="BB100" t="s" s="32">
        <v>68</v>
      </c>
    </row>
    <row r="101" spans="1:54">
      <c r="B101" s="145">
        <v>100</v>
      </c>
      <c r="C101" t="s" s="114">
        <v>1285</v>
      </c>
      <c r="D101" t="s" s="38">
        <v>1380</v>
      </c>
      <c r="E101" t="s" s="32">
        <v>68</v>
      </c>
      <c r="F101" t="s" s="32">
        <v>68</v>
      </c>
      <c r="G101" t="s" s="32">
        <v>68</v>
      </c>
      <c r="H101" t="s" s="32">
        <v>68</v>
      </c>
      <c r="I101" t="s" s="32">
        <v>68</v>
      </c>
      <c r="J101" t="s" s="32">
        <v>68</v>
      </c>
      <c r="K101" t="s" s="32">
        <v>68</v>
      </c>
      <c r="L101" t="s" s="32">
        <v>68</v>
      </c>
      <c r="M101" t="s" s="32">
        <v>68</v>
      </c>
      <c r="N101" t="s" s="32">
        <v>68</v>
      </c>
      <c r="O101" t="s" s="32">
        <v>68</v>
      </c>
      <c r="P101" t="s" s="32">
        <v>68</v>
      </c>
      <c r="Q101" t="s" s="32">
        <v>68</v>
      </c>
      <c r="R101" t="s" s="32">
        <v>68</v>
      </c>
      <c r="S101" t="s" s="32">
        <v>68</v>
      </c>
      <c r="T101" t="s" s="32">
        <v>68</v>
      </c>
      <c r="U101" t="s" s="32">
        <v>68</v>
      </c>
      <c r="V101" t="s" s="32">
        <v>68</v>
      </c>
      <c r="W101" t="s" s="32">
        <v>68</v>
      </c>
      <c r="X101" t="s" s="32">
        <v>68</v>
      </c>
      <c r="Y101" t="s" s="32">
        <v>68</v>
      </c>
      <c r="Z101" t="s" s="32">
        <v>68</v>
      </c>
      <c r="AA101" t="s" s="32">
        <v>68</v>
      </c>
      <c r="AB101" t="s" s="32">
        <v>68</v>
      </c>
      <c r="AC101" t="s" s="32">
        <v>68</v>
      </c>
      <c r="AD101" t="s" s="32">
        <v>68</v>
      </c>
      <c r="AE101" t="s" s="32">
        <v>68</v>
      </c>
      <c r="AF101" t="s" s="32">
        <v>68</v>
      </c>
      <c r="AG101" t="s" s="32">
        <v>68</v>
      </c>
      <c r="AH101" t="s" s="32">
        <v>68</v>
      </c>
      <c r="AI101" t="s" s="32">
        <v>68</v>
      </c>
      <c r="AJ101" t="s" s="32">
        <v>68</v>
      </c>
      <c r="AK101" t="s" s="32">
        <v>68</v>
      </c>
      <c r="AL101" t="s" s="32">
        <v>68</v>
      </c>
      <c r="AM101" t="s" s="32">
        <v>68</v>
      </c>
      <c r="AN101" t="s" s="32">
        <v>68</v>
      </c>
      <c r="AO101" t="s" s="32">
        <v>68</v>
      </c>
      <c r="AP101" t="s" s="32">
        <v>68</v>
      </c>
      <c r="AQ101" t="s" s="32">
        <v>68</v>
      </c>
      <c r="AR101" t="s" s="32">
        <v>68</v>
      </c>
      <c r="AS101" t="s" s="32">
        <v>68</v>
      </c>
      <c r="AT101" t="s" s="32">
        <v>68</v>
      </c>
      <c r="AU101" t="s" s="32">
        <v>68</v>
      </c>
      <c r="AV101" t="s" s="32">
        <v>68</v>
      </c>
      <c r="AW101" t="s" s="32">
        <v>68</v>
      </c>
      <c r="AX101" t="s" s="32">
        <v>68</v>
      </c>
      <c r="AY101" t="s" s="32">
        <v>68</v>
      </c>
      <c r="AZ101" t="s" s="32">
        <v>68</v>
      </c>
      <c r="BA101" t="s" s="32">
        <v>68</v>
      </c>
      <c r="BB101" t="s" s="32">
        <v>68</v>
      </c>
    </row>
    <row r="102" spans="1:54">
      <c r="B102" s="145">
        <v>101</v>
      </c>
      <c r="C102" t="s" s="114">
        <v>211</v>
      </c>
      <c r="D102" t="s" s="38">
        <v>1380</v>
      </c>
      <c r="E102" t="s" s="32">
        <v>68</v>
      </c>
      <c r="F102" t="s" s="32">
        <v>68</v>
      </c>
      <c r="G102" t="s" s="32">
        <v>68</v>
      </c>
      <c r="H102" t="s" s="32">
        <v>68</v>
      </c>
      <c r="I102" t="s" s="32">
        <v>68</v>
      </c>
      <c r="J102" t="s" s="32">
        <v>68</v>
      </c>
      <c r="K102" t="s" s="32">
        <v>68</v>
      </c>
      <c r="L102" t="s" s="32">
        <v>68</v>
      </c>
      <c r="M102" t="s" s="32">
        <v>68</v>
      </c>
      <c r="N102" t="s" s="32">
        <v>68</v>
      </c>
      <c r="O102" t="s" s="32">
        <v>68</v>
      </c>
      <c r="P102" t="s" s="32">
        <v>68</v>
      </c>
      <c r="Q102" t="s" s="32">
        <v>68</v>
      </c>
      <c r="R102" t="s" s="32">
        <v>68</v>
      </c>
      <c r="S102" t="s" s="32">
        <v>68</v>
      </c>
      <c r="T102" t="s" s="32">
        <v>68</v>
      </c>
      <c r="U102" t="s" s="32">
        <v>68</v>
      </c>
      <c r="V102" t="s" s="32">
        <v>68</v>
      </c>
      <c r="W102" t="s" s="32">
        <v>68</v>
      </c>
      <c r="X102" t="s" s="32">
        <v>68</v>
      </c>
      <c r="Y102" t="s" s="32">
        <v>68</v>
      </c>
      <c r="Z102" t="s" s="32">
        <v>68</v>
      </c>
      <c r="AA102" t="s" s="32">
        <v>68</v>
      </c>
      <c r="AB102" t="s" s="32">
        <v>68</v>
      </c>
      <c r="AC102" t="s" s="32">
        <v>68</v>
      </c>
      <c r="AD102" t="s" s="32">
        <v>68</v>
      </c>
      <c r="AE102" t="s" s="32">
        <v>68</v>
      </c>
      <c r="AF102" t="s" s="32">
        <v>68</v>
      </c>
      <c r="AG102" t="s" s="32">
        <v>68</v>
      </c>
      <c r="AH102" t="s" s="32">
        <v>68</v>
      </c>
      <c r="AI102" t="s" s="32">
        <v>68</v>
      </c>
      <c r="AJ102" t="s" s="32">
        <v>68</v>
      </c>
      <c r="AK102" t="s" s="32">
        <v>68</v>
      </c>
      <c r="AL102" t="s" s="32">
        <v>68</v>
      </c>
      <c r="AM102" t="s" s="32">
        <v>68</v>
      </c>
      <c r="AN102" t="s" s="32">
        <v>68</v>
      </c>
      <c r="AO102" t="s" s="32">
        <v>68</v>
      </c>
      <c r="AP102" t="s" s="32">
        <v>68</v>
      </c>
      <c r="AQ102" t="s" s="32">
        <v>68</v>
      </c>
      <c r="AR102" t="s" s="32">
        <v>68</v>
      </c>
      <c r="AS102" t="s" s="32">
        <v>68</v>
      </c>
      <c r="AT102" t="s" s="32">
        <v>68</v>
      </c>
      <c r="AU102" t="s" s="32">
        <v>68</v>
      </c>
      <c r="AV102" t="s" s="32">
        <v>68</v>
      </c>
      <c r="AW102" t="s" s="32">
        <v>68</v>
      </c>
      <c r="AX102" t="s" s="32">
        <v>68</v>
      </c>
      <c r="AY102" t="s" s="32">
        <v>68</v>
      </c>
      <c r="AZ102" t="s" s="32">
        <v>68</v>
      </c>
      <c r="BA102" t="s" s="32">
        <v>68</v>
      </c>
      <c r="BB102" t="s" s="32">
        <v>68</v>
      </c>
    </row>
    <row r="103" spans="1:54" ht="24">
      <c r="B103" s="145">
        <v>102</v>
      </c>
      <c r="C103" t="s" s="114">
        <v>1718</v>
      </c>
      <c r="D103" t="s" s="38">
        <v>1308</v>
      </c>
      <c r="E103" t="s" s="32">
        <v>68</v>
      </c>
      <c r="F103" t="s" s="32">
        <v>68</v>
      </c>
      <c r="G103" t="s" s="32">
        <v>68</v>
      </c>
      <c r="H103" t="s" s="32">
        <v>68</v>
      </c>
      <c r="I103" t="s" s="32">
        <v>68</v>
      </c>
      <c r="J103" t="s" s="32">
        <v>68</v>
      </c>
      <c r="K103" t="s" s="32">
        <v>68</v>
      </c>
      <c r="L103" t="s" s="32">
        <v>68</v>
      </c>
      <c r="M103" t="s" s="32">
        <v>68</v>
      </c>
      <c r="N103" t="s" s="32">
        <v>68</v>
      </c>
      <c r="O103" t="s" s="32">
        <v>68</v>
      </c>
      <c r="P103" t="s" s="32">
        <v>68</v>
      </c>
      <c r="Q103" t="s" s="32">
        <v>68</v>
      </c>
      <c r="R103" t="s" s="32">
        <v>68</v>
      </c>
      <c r="S103" t="s" s="32">
        <v>68</v>
      </c>
      <c r="T103" t="s" s="32">
        <v>68</v>
      </c>
      <c r="U103" t="s" s="32">
        <v>68</v>
      </c>
      <c r="V103" t="s" s="32">
        <v>68</v>
      </c>
      <c r="W103" t="s" s="32">
        <v>68</v>
      </c>
      <c r="X103" t="s" s="32">
        <v>68</v>
      </c>
      <c r="Y103" t="s" s="32">
        <v>68</v>
      </c>
      <c r="Z103" t="s" s="32">
        <v>68</v>
      </c>
      <c r="AA103" t="s" s="32">
        <v>68</v>
      </c>
      <c r="AB103" t="s" s="32">
        <v>68</v>
      </c>
      <c r="AC103" t="s" s="32">
        <v>68</v>
      </c>
      <c r="AD103" t="s" s="32">
        <v>68</v>
      </c>
      <c r="AE103" t="s" s="32">
        <v>68</v>
      </c>
      <c r="AF103" t="s" s="32">
        <v>68</v>
      </c>
      <c r="AG103" t="s" s="32">
        <v>68</v>
      </c>
      <c r="AH103" t="s" s="32">
        <v>68</v>
      </c>
      <c r="AI103" t="s" s="32">
        <v>68</v>
      </c>
      <c r="AJ103" t="s" s="32">
        <v>68</v>
      </c>
      <c r="AK103" t="s" s="32">
        <v>68</v>
      </c>
      <c r="AL103" t="s" s="32">
        <v>68</v>
      </c>
      <c r="AM103" t="s" s="32">
        <v>68</v>
      </c>
      <c r="AN103" t="s" s="32">
        <v>68</v>
      </c>
      <c r="AO103" t="s" s="32">
        <v>68</v>
      </c>
      <c r="AP103" t="s" s="32">
        <v>68</v>
      </c>
      <c r="AQ103" t="s" s="32">
        <v>68</v>
      </c>
      <c r="AR103" t="s" s="32">
        <v>68</v>
      </c>
      <c r="AS103" t="s" s="32">
        <v>68</v>
      </c>
      <c r="AT103" t="s" s="32">
        <v>68</v>
      </c>
      <c r="AU103" t="s" s="32">
        <v>68</v>
      </c>
      <c r="AV103" t="s" s="32">
        <v>68</v>
      </c>
      <c r="AW103" t="s" s="32">
        <v>68</v>
      </c>
      <c r="AX103" t="s" s="32">
        <v>68</v>
      </c>
      <c r="AY103" t="s" s="32">
        <v>68</v>
      </c>
      <c r="AZ103" t="s" s="32">
        <v>68</v>
      </c>
      <c r="BA103" t="s" s="32">
        <v>68</v>
      </c>
      <c r="BB103" t="s" s="32">
        <v>68</v>
      </c>
    </row>
    <row r="104" spans="1:54">
      <c r="A104" t="s" s="157">
        <v>1548</v>
      </c>
      <c r="B104" s="145">
        <v>103</v>
      </c>
      <c r="C104" t="s" s="114">
        <v>1756</v>
      </c>
      <c r="D104" t="s" s="38">
        <v>473</v>
      </c>
      <c r="E104" t="s" s="32">
        <v>68</v>
      </c>
      <c r="F104" t="s" s="32">
        <v>68</v>
      </c>
      <c r="G104" t="s" s="32">
        <v>68</v>
      </c>
      <c r="H104" t="s" s="32">
        <v>68</v>
      </c>
      <c r="I104" t="s" s="32">
        <v>68</v>
      </c>
      <c r="J104" t="s" s="32">
        <v>68</v>
      </c>
      <c r="K104" t="s" s="32">
        <v>68</v>
      </c>
      <c r="L104" t="s" s="32">
        <v>68</v>
      </c>
      <c r="M104" t="s" s="32">
        <v>68</v>
      </c>
      <c r="N104" t="s" s="32">
        <v>68</v>
      </c>
      <c r="O104" t="s" s="32">
        <v>68</v>
      </c>
      <c r="P104" t="s" s="32">
        <v>68</v>
      </c>
      <c r="Q104" t="s" s="32">
        <v>68</v>
      </c>
      <c r="R104" t="s" s="32">
        <v>68</v>
      </c>
      <c r="S104" t="s" s="32">
        <v>68</v>
      </c>
      <c r="T104" t="s" s="32">
        <v>68</v>
      </c>
      <c r="U104" t="s" s="32">
        <v>68</v>
      </c>
      <c r="V104" t="s" s="32">
        <v>68</v>
      </c>
      <c r="W104" t="s" s="32">
        <v>68</v>
      </c>
      <c r="X104" t="s" s="32">
        <v>68</v>
      </c>
      <c r="Y104" t="s" s="32">
        <v>68</v>
      </c>
      <c r="Z104" t="s" s="32">
        <v>68</v>
      </c>
      <c r="AA104" t="s" s="32">
        <v>68</v>
      </c>
      <c r="AB104" t="s" s="32">
        <v>68</v>
      </c>
      <c r="AC104" t="s" s="32">
        <v>68</v>
      </c>
      <c r="AD104" t="s" s="32">
        <v>68</v>
      </c>
      <c r="AE104" t="s" s="32">
        <v>68</v>
      </c>
      <c r="AF104" t="s" s="32">
        <v>68</v>
      </c>
      <c r="AG104" t="s" s="32">
        <v>68</v>
      </c>
      <c r="AH104" t="s" s="32">
        <v>68</v>
      </c>
      <c r="AI104" t="s" s="32">
        <v>68</v>
      </c>
      <c r="AJ104" t="s" s="32">
        <v>68</v>
      </c>
      <c r="AK104" t="s" s="32">
        <v>68</v>
      </c>
      <c r="AL104" t="s" s="32">
        <v>68</v>
      </c>
      <c r="AM104" t="s" s="32">
        <v>68</v>
      </c>
      <c r="AN104" t="s" s="32">
        <v>68</v>
      </c>
      <c r="AO104" t="s" s="32">
        <v>68</v>
      </c>
      <c r="AP104" t="s" s="32">
        <v>68</v>
      </c>
      <c r="AQ104" t="s" s="32">
        <v>68</v>
      </c>
      <c r="AR104" t="s" s="32">
        <v>68</v>
      </c>
      <c r="AS104" t="s" s="32">
        <v>68</v>
      </c>
      <c r="AT104" t="s" s="32">
        <v>68</v>
      </c>
      <c r="AU104" t="s" s="32">
        <v>68</v>
      </c>
      <c r="AV104" t="s" s="32">
        <v>68</v>
      </c>
      <c r="AW104" t="s" s="32">
        <v>68</v>
      </c>
      <c r="AX104" t="s" s="32">
        <v>68</v>
      </c>
      <c r="AY104" t="s" s="32">
        <v>68</v>
      </c>
      <c r="AZ104" t="s" s="32">
        <v>68</v>
      </c>
      <c r="BA104" t="s" s="32">
        <v>68</v>
      </c>
      <c r="BB104" t="s" s="32">
        <v>68</v>
      </c>
    </row>
    <row r="105" spans="1:54">
      <c r="A105" t="s" s="157">
        <v>1548</v>
      </c>
      <c r="B105" s="145">
        <v>104</v>
      </c>
      <c r="C105" t="s" s="114">
        <v>1506</v>
      </c>
      <c r="D105" t="s" s="38">
        <v>1105</v>
      </c>
      <c r="E105" t="s" s="125">
        <v>68</v>
      </c>
      <c r="F105" t="s" s="125">
        <v>68</v>
      </c>
      <c r="G105" t="s" s="125">
        <v>68</v>
      </c>
      <c r="H105" t="s" s="125">
        <v>68</v>
      </c>
      <c r="I105" t="s" s="125">
        <v>68</v>
      </c>
      <c r="J105" t="s" s="125">
        <v>68</v>
      </c>
      <c r="K105" t="s" s="125">
        <v>68</v>
      </c>
      <c r="L105" t="s" s="125">
        <v>68</v>
      </c>
      <c r="M105" t="s" s="125">
        <v>68</v>
      </c>
      <c r="N105" t="s" s="125">
        <v>68</v>
      </c>
      <c r="O105" t="s" s="125">
        <v>68</v>
      </c>
      <c r="P105" t="s" s="125">
        <v>68</v>
      </c>
      <c r="Q105" t="s" s="125">
        <v>68</v>
      </c>
      <c r="R105" t="s" s="125">
        <v>68</v>
      </c>
      <c r="S105" t="s" s="125">
        <v>68</v>
      </c>
      <c r="T105" t="s" s="125">
        <v>68</v>
      </c>
      <c r="U105" t="s" s="125">
        <v>68</v>
      </c>
      <c r="V105" t="s" s="125">
        <v>68</v>
      </c>
      <c r="W105" t="s" s="125">
        <v>68</v>
      </c>
      <c r="X105" t="s" s="125">
        <v>68</v>
      </c>
      <c r="Y105" t="s" s="125">
        <v>68</v>
      </c>
      <c r="Z105" t="s" s="125">
        <v>68</v>
      </c>
      <c r="AA105" t="s" s="125">
        <v>68</v>
      </c>
      <c r="AB105" t="s" s="125">
        <v>68</v>
      </c>
      <c r="AC105" t="s" s="125">
        <v>68</v>
      </c>
      <c r="AD105" t="s" s="125">
        <v>68</v>
      </c>
      <c r="AE105" t="s" s="125">
        <v>68</v>
      </c>
      <c r="AF105" t="s" s="125">
        <v>68</v>
      </c>
      <c r="AG105" t="s" s="125">
        <v>68</v>
      </c>
      <c r="AH105" t="s" s="125">
        <v>68</v>
      </c>
      <c r="AI105" t="s" s="125">
        <v>68</v>
      </c>
      <c r="AJ105" t="s" s="125">
        <v>68</v>
      </c>
      <c r="AK105" t="s" s="125">
        <v>68</v>
      </c>
      <c r="AL105" t="s" s="125">
        <v>68</v>
      </c>
      <c r="AM105" t="s" s="125">
        <v>68</v>
      </c>
      <c r="AN105" t="s" s="125">
        <v>68</v>
      </c>
      <c r="AO105" t="s" s="125">
        <v>68</v>
      </c>
      <c r="AP105" t="s" s="125">
        <v>68</v>
      </c>
      <c r="AQ105" t="s" s="125">
        <v>68</v>
      </c>
      <c r="AR105" t="s" s="125">
        <v>68</v>
      </c>
      <c r="AS105" t="s" s="125">
        <v>68</v>
      </c>
      <c r="AT105" t="s" s="125">
        <v>68</v>
      </c>
      <c r="AU105" t="s" s="125">
        <v>68</v>
      </c>
      <c r="AV105" t="s" s="125">
        <v>68</v>
      </c>
      <c r="AW105" t="s" s="125">
        <v>68</v>
      </c>
      <c r="AX105" t="s" s="125">
        <v>68</v>
      </c>
      <c r="AY105" t="s" s="125">
        <v>68</v>
      </c>
      <c r="AZ105" t="s" s="125">
        <v>68</v>
      </c>
      <c r="BA105" t="s" s="125">
        <v>68</v>
      </c>
      <c r="BB105" t="s" s="125">
        <v>68</v>
      </c>
    </row>
    <row r="106" spans="1:54" ht="24">
      <c r="B106" s="145">
        <v>105</v>
      </c>
      <c r="C106" t="s" s="114">
        <v>183</v>
      </c>
      <c r="D106" t="s" s="38">
        <v>75</v>
      </c>
      <c r="E106" t="s" s="32">
        <v>68</v>
      </c>
      <c r="F106" t="s" s="32">
        <v>68</v>
      </c>
      <c r="G106" t="s" s="32">
        <v>68</v>
      </c>
      <c r="H106" t="s" s="32">
        <v>68</v>
      </c>
      <c r="I106" t="s" s="32">
        <v>68</v>
      </c>
      <c r="J106" t="s" s="32">
        <v>68</v>
      </c>
      <c r="K106" t="s" s="32">
        <v>68</v>
      </c>
      <c r="L106" t="s" s="32">
        <v>68</v>
      </c>
      <c r="M106" t="s" s="32">
        <v>68</v>
      </c>
      <c r="N106" t="s" s="32">
        <v>68</v>
      </c>
      <c r="O106" t="s" s="32">
        <v>68</v>
      </c>
      <c r="P106" t="s" s="32">
        <v>68</v>
      </c>
      <c r="Q106" t="s" s="32">
        <v>68</v>
      </c>
      <c r="R106" t="s" s="32">
        <v>68</v>
      </c>
      <c r="S106" t="s" s="32">
        <v>68</v>
      </c>
      <c r="T106" t="s" s="32">
        <v>68</v>
      </c>
      <c r="U106" t="s" s="32">
        <v>68</v>
      </c>
      <c r="V106" t="s" s="32">
        <v>68</v>
      </c>
      <c r="W106" t="s" s="32">
        <v>68</v>
      </c>
      <c r="X106" t="s" s="32">
        <v>68</v>
      </c>
      <c r="Y106" t="s" s="32">
        <v>68</v>
      </c>
      <c r="Z106" t="s" s="32">
        <v>68</v>
      </c>
      <c r="AA106" t="s" s="32">
        <v>68</v>
      </c>
      <c r="AB106" t="s" s="32">
        <v>68</v>
      </c>
      <c r="AC106" t="s" s="32">
        <v>68</v>
      </c>
      <c r="AD106" t="s" s="32">
        <v>68</v>
      </c>
      <c r="AE106" t="s" s="32">
        <v>68</v>
      </c>
      <c r="AF106" t="s" s="32">
        <v>68</v>
      </c>
      <c r="AG106" t="s" s="32">
        <v>68</v>
      </c>
      <c r="AH106" t="s" s="32">
        <v>68</v>
      </c>
      <c r="AI106" t="s" s="32">
        <v>68</v>
      </c>
      <c r="AJ106" t="s" s="32">
        <v>68</v>
      </c>
      <c r="AK106" t="s" s="32">
        <v>68</v>
      </c>
      <c r="AL106" t="s" s="32">
        <v>68</v>
      </c>
      <c r="AM106" t="s" s="32">
        <v>68</v>
      </c>
      <c r="AN106" t="s" s="32">
        <v>68</v>
      </c>
      <c r="AO106" t="s" s="32">
        <v>68</v>
      </c>
      <c r="AP106" t="s" s="32">
        <v>68</v>
      </c>
      <c r="AQ106" t="s" s="32">
        <v>68</v>
      </c>
      <c r="AR106" t="s" s="32">
        <v>68</v>
      </c>
      <c r="AS106" t="s" s="32">
        <v>68</v>
      </c>
      <c r="AT106" t="s" s="32">
        <v>68</v>
      </c>
      <c r="AU106" t="s" s="32">
        <v>68</v>
      </c>
      <c r="AV106" t="s" s="32">
        <v>68</v>
      </c>
      <c r="AW106" t="s" s="32">
        <v>68</v>
      </c>
      <c r="AX106" t="s" s="32">
        <v>68</v>
      </c>
      <c r="AY106" t="s" s="32">
        <v>68</v>
      </c>
      <c r="AZ106" t="s" s="32">
        <v>68</v>
      </c>
      <c r="BA106" t="s" s="32">
        <v>68</v>
      </c>
      <c r="BB106" t="s" s="32">
        <v>68</v>
      </c>
    </row>
    <row r="107" spans="1:54">
      <c r="B107" s="145">
        <v>106</v>
      </c>
      <c r="C107" t="s" s="114">
        <v>1794</v>
      </c>
      <c r="D107" t="s" s="38">
        <v>1380</v>
      </c>
      <c r="E107" t="s" s="32">
        <v>68</v>
      </c>
      <c r="F107" t="s" s="32">
        <v>68</v>
      </c>
      <c r="G107" t="s" s="32">
        <v>68</v>
      </c>
      <c r="H107" t="s" s="32">
        <v>68</v>
      </c>
      <c r="I107" t="s" s="32">
        <v>68</v>
      </c>
      <c r="J107" t="s" s="32">
        <v>68</v>
      </c>
      <c r="K107" t="s" s="32">
        <v>68</v>
      </c>
      <c r="L107" t="s" s="32">
        <v>68</v>
      </c>
      <c r="M107" t="s" s="32">
        <v>68</v>
      </c>
      <c r="N107" t="s" s="32">
        <v>68</v>
      </c>
      <c r="O107" t="s" s="32">
        <v>68</v>
      </c>
      <c r="P107" t="s" s="32">
        <v>68</v>
      </c>
      <c r="Q107" t="s" s="32">
        <v>68</v>
      </c>
      <c r="R107" t="s" s="32">
        <v>68</v>
      </c>
      <c r="S107" t="s" s="32">
        <v>68</v>
      </c>
      <c r="T107" t="s" s="32">
        <v>68</v>
      </c>
      <c r="U107" t="s" s="32">
        <v>68</v>
      </c>
      <c r="V107" t="s" s="32">
        <v>68</v>
      </c>
      <c r="W107" t="s" s="32">
        <v>68</v>
      </c>
      <c r="X107" t="s" s="32">
        <v>68</v>
      </c>
      <c r="Y107" t="s" s="32">
        <v>68</v>
      </c>
      <c r="Z107" t="s" s="32">
        <v>68</v>
      </c>
      <c r="AA107" t="s" s="32">
        <v>68</v>
      </c>
      <c r="AB107" t="s" s="32">
        <v>68</v>
      </c>
      <c r="AC107" t="s" s="32">
        <v>68</v>
      </c>
      <c r="AD107" t="s" s="32">
        <v>68</v>
      </c>
      <c r="AE107" t="s" s="32">
        <v>68</v>
      </c>
      <c r="AF107" t="s" s="32">
        <v>68</v>
      </c>
      <c r="AG107" t="s" s="32">
        <v>68</v>
      </c>
      <c r="AH107" t="s" s="32">
        <v>68</v>
      </c>
      <c r="AI107" t="s" s="32">
        <v>68</v>
      </c>
      <c r="AJ107" t="s" s="32">
        <v>68</v>
      </c>
      <c r="AK107" t="s" s="32">
        <v>68</v>
      </c>
      <c r="AL107" t="s" s="32">
        <v>68</v>
      </c>
      <c r="AM107" t="s" s="32">
        <v>68</v>
      </c>
      <c r="AN107" t="s" s="32">
        <v>68</v>
      </c>
      <c r="AO107" t="s" s="32">
        <v>68</v>
      </c>
      <c r="AP107" t="s" s="32">
        <v>68</v>
      </c>
      <c r="AQ107" t="s" s="32">
        <v>68</v>
      </c>
      <c r="AR107" t="s" s="32">
        <v>68</v>
      </c>
      <c r="AS107" t="s" s="32">
        <v>68</v>
      </c>
      <c r="AT107" t="s" s="32">
        <v>68</v>
      </c>
      <c r="AU107" t="s" s="32">
        <v>68</v>
      </c>
      <c r="AV107" t="s" s="32">
        <v>68</v>
      </c>
      <c r="AW107" t="s" s="32">
        <v>68</v>
      </c>
      <c r="AX107" t="s" s="32">
        <v>68</v>
      </c>
      <c r="AY107" t="s" s="32">
        <v>68</v>
      </c>
      <c r="AZ107" t="s" s="32">
        <v>68</v>
      </c>
      <c r="BA107" t="s" s="32">
        <v>68</v>
      </c>
      <c r="BB107" t="s" s="32">
        <v>68</v>
      </c>
    </row>
    <row r="108" spans="1:54" ht="24">
      <c r="B108" s="145">
        <v>107</v>
      </c>
      <c r="C108" t="s" s="114">
        <v>1068</v>
      </c>
      <c r="D108" t="s" s="38">
        <v>1443</v>
      </c>
      <c r="E108" t="s" s="32">
        <v>68</v>
      </c>
      <c r="F108" t="s" s="32">
        <v>68</v>
      </c>
      <c r="G108" t="s" s="32">
        <v>68</v>
      </c>
      <c r="H108" t="s" s="32">
        <v>68</v>
      </c>
      <c r="I108" t="s" s="32">
        <v>68</v>
      </c>
      <c r="J108" t="s" s="32">
        <v>68</v>
      </c>
      <c r="K108" t="s" s="32">
        <v>68</v>
      </c>
      <c r="L108" t="s" s="32">
        <v>68</v>
      </c>
      <c r="M108" t="s" s="32">
        <v>68</v>
      </c>
      <c r="N108" t="s" s="32">
        <v>68</v>
      </c>
      <c r="O108" t="s" s="32">
        <v>68</v>
      </c>
      <c r="P108" t="s" s="32">
        <v>68</v>
      </c>
      <c r="Q108" t="s" s="32">
        <v>68</v>
      </c>
      <c r="R108" t="s" s="32">
        <v>68</v>
      </c>
      <c r="S108" t="s" s="32">
        <v>68</v>
      </c>
      <c r="T108" t="s" s="32">
        <v>68</v>
      </c>
      <c r="U108" t="s" s="32">
        <v>68</v>
      </c>
      <c r="V108" t="s" s="32">
        <v>68</v>
      </c>
      <c r="W108" t="s" s="32">
        <v>68</v>
      </c>
      <c r="X108" t="s" s="32">
        <v>68</v>
      </c>
      <c r="Y108" t="s" s="32">
        <v>68</v>
      </c>
      <c r="Z108" t="s" s="32">
        <v>68</v>
      </c>
      <c r="AA108" t="s" s="32">
        <v>68</v>
      </c>
      <c r="AB108" t="s" s="32">
        <v>68</v>
      </c>
      <c r="AC108" t="s" s="32">
        <v>68</v>
      </c>
      <c r="AD108" t="s" s="32">
        <v>68</v>
      </c>
      <c r="AE108" t="s" s="32">
        <v>68</v>
      </c>
      <c r="AF108" t="s" s="32">
        <v>68</v>
      </c>
      <c r="AG108" t="s" s="32">
        <v>68</v>
      </c>
      <c r="AH108" t="s" s="32">
        <v>68</v>
      </c>
      <c r="AI108" t="s" s="32">
        <v>68</v>
      </c>
      <c r="AJ108" t="s" s="32">
        <v>68</v>
      </c>
      <c r="AK108" t="s" s="32">
        <v>68</v>
      </c>
      <c r="AL108" t="s" s="32">
        <v>68</v>
      </c>
      <c r="AM108" t="s" s="32">
        <v>68</v>
      </c>
      <c r="AN108" t="s" s="32">
        <v>68</v>
      </c>
      <c r="AO108" t="s" s="32">
        <v>68</v>
      </c>
      <c r="AP108" t="s" s="32">
        <v>68</v>
      </c>
      <c r="AQ108" t="s" s="32">
        <v>68</v>
      </c>
      <c r="AR108" t="s" s="32">
        <v>68</v>
      </c>
      <c r="AS108" t="s" s="32">
        <v>68</v>
      </c>
      <c r="AT108" t="s" s="32">
        <v>68</v>
      </c>
      <c r="AU108" t="s" s="32">
        <v>68</v>
      </c>
      <c r="AV108" t="s" s="32">
        <v>68</v>
      </c>
      <c r="AW108" t="s" s="32">
        <v>68</v>
      </c>
      <c r="AX108" t="s" s="32">
        <v>68</v>
      </c>
      <c r="AY108" t="s" s="32">
        <v>68</v>
      </c>
      <c r="AZ108" t="s" s="32">
        <v>68</v>
      </c>
      <c r="BA108" t="s" s="32">
        <v>68</v>
      </c>
      <c r="BB108" t="s" s="32">
        <v>68</v>
      </c>
    </row>
    <row r="109" spans="1:54" ht="24">
      <c r="B109" s="145">
        <v>108</v>
      </c>
      <c r="C109" t="s" s="114">
        <v>1614</v>
      </c>
      <c r="D109" t="s" s="38">
        <v>1829</v>
      </c>
      <c r="E109" t="s" s="32">
        <v>68</v>
      </c>
      <c r="F109" t="s" s="32">
        <v>68</v>
      </c>
      <c r="G109" t="s" s="32">
        <v>68</v>
      </c>
      <c r="H109" t="s" s="32">
        <v>68</v>
      </c>
      <c r="I109" t="s" s="32">
        <v>68</v>
      </c>
      <c r="J109" t="s" s="32">
        <v>68</v>
      </c>
      <c r="K109" t="s" s="32">
        <v>68</v>
      </c>
      <c r="L109" t="s" s="32">
        <v>68</v>
      </c>
      <c r="M109" t="s" s="32">
        <v>68</v>
      </c>
      <c r="N109" t="s" s="32">
        <v>68</v>
      </c>
      <c r="O109" t="s" s="32">
        <v>68</v>
      </c>
      <c r="P109" t="s" s="32">
        <v>68</v>
      </c>
      <c r="Q109" t="s" s="32">
        <v>68</v>
      </c>
      <c r="R109" t="s" s="32">
        <v>68</v>
      </c>
      <c r="S109" t="s" s="32">
        <v>68</v>
      </c>
      <c r="T109" t="s" s="32">
        <v>68</v>
      </c>
      <c r="U109" t="s" s="32">
        <v>68</v>
      </c>
      <c r="V109" t="s" s="32">
        <v>68</v>
      </c>
      <c r="W109" t="s" s="32">
        <v>68</v>
      </c>
      <c r="X109" t="s" s="32">
        <v>68</v>
      </c>
      <c r="Y109" t="s" s="32">
        <v>68</v>
      </c>
      <c r="Z109" t="s" s="32">
        <v>68</v>
      </c>
      <c r="AA109" t="s" s="32">
        <v>68</v>
      </c>
      <c r="AB109" t="s" s="32">
        <v>68</v>
      </c>
      <c r="AC109" t="s" s="32">
        <v>68</v>
      </c>
      <c r="AD109" t="s" s="32">
        <v>68</v>
      </c>
      <c r="AE109" t="s" s="32">
        <v>68</v>
      </c>
      <c r="AF109" t="s" s="32">
        <v>68</v>
      </c>
      <c r="AG109" t="s" s="32">
        <v>68</v>
      </c>
      <c r="AH109" t="s" s="32">
        <v>68</v>
      </c>
      <c r="AI109" t="s" s="32">
        <v>68</v>
      </c>
      <c r="AJ109" t="s" s="32">
        <v>68</v>
      </c>
      <c r="AK109" t="s" s="32">
        <v>68</v>
      </c>
      <c r="AL109" t="s" s="32">
        <v>68</v>
      </c>
      <c r="AM109" t="s" s="32">
        <v>68</v>
      </c>
      <c r="AN109" t="s" s="32">
        <v>68</v>
      </c>
      <c r="AO109" t="s" s="32">
        <v>68</v>
      </c>
      <c r="AP109" t="s" s="32">
        <v>68</v>
      </c>
      <c r="AQ109" t="s" s="32">
        <v>68</v>
      </c>
      <c r="AR109" t="s" s="32">
        <v>68</v>
      </c>
      <c r="AS109" t="s" s="32">
        <v>68</v>
      </c>
      <c r="AT109" t="s" s="32">
        <v>68</v>
      </c>
      <c r="AU109" t="s" s="32">
        <v>68</v>
      </c>
      <c r="AV109" t="s" s="32">
        <v>68</v>
      </c>
      <c r="AW109" t="s" s="32">
        <v>68</v>
      </c>
      <c r="AX109" t="s" s="32">
        <v>68</v>
      </c>
      <c r="AY109" t="s" s="32">
        <v>68</v>
      </c>
      <c r="AZ109" t="s" s="32">
        <v>68</v>
      </c>
      <c r="BA109" t="s" s="32">
        <v>68</v>
      </c>
      <c r="BB109" t="s" s="32">
        <v>68</v>
      </c>
    </row>
    <row r="110" spans="1:54">
      <c r="B110" s="145">
        <v>109</v>
      </c>
      <c r="C110" t="s" s="114">
        <v>880</v>
      </c>
      <c r="D110" t="s" s="38">
        <v>179</v>
      </c>
      <c r="E110" t="s" s="32">
        <v>68</v>
      </c>
      <c r="F110" t="s" s="32">
        <v>68</v>
      </c>
      <c r="G110" t="s" s="32">
        <v>68</v>
      </c>
      <c r="H110" t="s" s="32">
        <v>68</v>
      </c>
      <c r="I110" t="s" s="32">
        <v>68</v>
      </c>
      <c r="J110" t="s" s="32">
        <v>68</v>
      </c>
      <c r="K110" t="s" s="32">
        <v>68</v>
      </c>
      <c r="L110" t="s" s="32">
        <v>68</v>
      </c>
      <c r="M110" t="s" s="32">
        <v>68</v>
      </c>
      <c r="N110" t="s" s="32">
        <v>68</v>
      </c>
      <c r="O110" t="s" s="32">
        <v>68</v>
      </c>
      <c r="P110" t="s" s="32">
        <v>68</v>
      </c>
      <c r="Q110" t="s" s="32">
        <v>68</v>
      </c>
      <c r="R110" t="s" s="32">
        <v>68</v>
      </c>
      <c r="S110" t="s" s="32">
        <v>68</v>
      </c>
      <c r="T110" t="s" s="32">
        <v>68</v>
      </c>
      <c r="U110" t="s" s="32">
        <v>68</v>
      </c>
      <c r="V110" t="s" s="32">
        <v>68</v>
      </c>
      <c r="W110" t="s" s="32">
        <v>68</v>
      </c>
      <c r="X110" t="s" s="32">
        <v>68</v>
      </c>
      <c r="Y110" t="s" s="32">
        <v>68</v>
      </c>
      <c r="Z110" t="s" s="32">
        <v>68</v>
      </c>
      <c r="AA110" t="s" s="32">
        <v>68</v>
      </c>
      <c r="AB110" t="s" s="32">
        <v>68</v>
      </c>
      <c r="AC110" t="s" s="32">
        <v>68</v>
      </c>
      <c r="AD110" t="s" s="32">
        <v>68</v>
      </c>
      <c r="AE110" t="s" s="32">
        <v>68</v>
      </c>
      <c r="AF110" t="s" s="32">
        <v>68</v>
      </c>
      <c r="AG110" t="s" s="32">
        <v>68</v>
      </c>
      <c r="AH110" t="s" s="32">
        <v>68</v>
      </c>
      <c r="AI110" t="s" s="32">
        <v>68</v>
      </c>
      <c r="AJ110" t="s" s="32">
        <v>68</v>
      </c>
      <c r="AK110" t="s" s="32">
        <v>68</v>
      </c>
      <c r="AL110" t="s" s="32">
        <v>68</v>
      </c>
      <c r="AM110" t="s" s="32">
        <v>68</v>
      </c>
      <c r="AN110" t="s" s="32">
        <v>68</v>
      </c>
      <c r="AO110" t="s" s="32">
        <v>68</v>
      </c>
      <c r="AP110" t="s" s="32">
        <v>68</v>
      </c>
      <c r="AQ110" t="s" s="32">
        <v>68</v>
      </c>
      <c r="AR110" t="s" s="32">
        <v>68</v>
      </c>
      <c r="AS110" t="s" s="32">
        <v>68</v>
      </c>
      <c r="AT110" t="s" s="32">
        <v>68</v>
      </c>
      <c r="AU110" t="s" s="32">
        <v>68</v>
      </c>
      <c r="AV110" t="s" s="32">
        <v>68</v>
      </c>
      <c r="AW110" t="s" s="32">
        <v>68</v>
      </c>
      <c r="AX110" t="s" s="32">
        <v>68</v>
      </c>
      <c r="AY110" t="s" s="32">
        <v>68</v>
      </c>
      <c r="AZ110" t="s" s="32">
        <v>68</v>
      </c>
      <c r="BA110" t="s" s="32">
        <v>68</v>
      </c>
      <c r="BB110" t="s" s="32">
        <v>68</v>
      </c>
    </row>
    <row r="111" spans="1:54" ht="36">
      <c r="B111" s="145">
        <v>110</v>
      </c>
      <c r="C111" t="s" s="114">
        <v>293</v>
      </c>
      <c r="D111" t="s" s="38">
        <v>446</v>
      </c>
      <c r="E111" t="s" s="32">
        <v>68</v>
      </c>
      <c r="F111" t="s" s="32">
        <v>68</v>
      </c>
      <c r="G111" t="s" s="32">
        <v>68</v>
      </c>
      <c r="H111" t="s" s="32">
        <v>68</v>
      </c>
      <c r="I111" t="s" s="32">
        <v>68</v>
      </c>
      <c r="J111" t="s" s="32">
        <v>68</v>
      </c>
      <c r="K111" t="s" s="32">
        <v>68</v>
      </c>
      <c r="L111" t="s" s="32">
        <v>68</v>
      </c>
      <c r="M111" t="s" s="32">
        <v>68</v>
      </c>
      <c r="N111" t="s" s="32">
        <v>68</v>
      </c>
      <c r="O111" t="s" s="32">
        <v>68</v>
      </c>
      <c r="P111" t="s" s="32">
        <v>68</v>
      </c>
      <c r="Q111" t="s" s="32">
        <v>68</v>
      </c>
      <c r="R111" t="s" s="32">
        <v>68</v>
      </c>
      <c r="S111" t="s" s="32">
        <v>68</v>
      </c>
      <c r="T111" t="s" s="32">
        <v>68</v>
      </c>
      <c r="U111" t="s" s="32">
        <v>68</v>
      </c>
      <c r="V111" t="s" s="32">
        <v>68</v>
      </c>
      <c r="W111" t="s" s="32">
        <v>68</v>
      </c>
      <c r="X111" t="s" s="32">
        <v>68</v>
      </c>
      <c r="Y111" t="s" s="32">
        <v>68</v>
      </c>
      <c r="Z111" t="s" s="32">
        <v>68</v>
      </c>
      <c r="AA111" t="s" s="32">
        <v>68</v>
      </c>
      <c r="AB111" t="s" s="32">
        <v>68</v>
      </c>
      <c r="AC111" t="s" s="32">
        <v>68</v>
      </c>
      <c r="AD111" t="s" s="32">
        <v>68</v>
      </c>
      <c r="AE111" t="s" s="32">
        <v>68</v>
      </c>
      <c r="AF111" t="s" s="32">
        <v>68</v>
      </c>
      <c r="AG111" t="s" s="32">
        <v>68</v>
      </c>
      <c r="AH111" t="s" s="32">
        <v>68</v>
      </c>
      <c r="AI111" t="s" s="32">
        <v>68</v>
      </c>
      <c r="AJ111" t="s" s="32">
        <v>68</v>
      </c>
      <c r="AK111" t="s" s="32">
        <v>68</v>
      </c>
      <c r="AL111" t="s" s="32">
        <v>68</v>
      </c>
      <c r="AM111" t="s" s="32">
        <v>68</v>
      </c>
      <c r="AN111" t="s" s="32">
        <v>68</v>
      </c>
      <c r="AO111" t="s" s="32">
        <v>68</v>
      </c>
      <c r="AP111" t="s" s="32">
        <v>68</v>
      </c>
      <c r="AQ111" t="s" s="32">
        <v>68</v>
      </c>
      <c r="AR111" t="s" s="32">
        <v>68</v>
      </c>
      <c r="AS111" t="s" s="32">
        <v>68</v>
      </c>
      <c r="AT111" t="s" s="32">
        <v>68</v>
      </c>
      <c r="AU111" t="s" s="32">
        <v>68</v>
      </c>
      <c r="AV111" t="s" s="32">
        <v>68</v>
      </c>
      <c r="AW111" t="s" s="32">
        <v>68</v>
      </c>
      <c r="AX111" t="s" s="32">
        <v>68</v>
      </c>
      <c r="AY111" t="s" s="32">
        <v>68</v>
      </c>
      <c r="AZ111" t="s" s="32">
        <v>68</v>
      </c>
      <c r="BA111" t="s" s="32">
        <v>68</v>
      </c>
      <c r="BB111" t="s" s="32">
        <v>68</v>
      </c>
    </row>
    <row r="112" spans="1:54" ht="24">
      <c r="B112" s="145">
        <v>111</v>
      </c>
      <c r="C112" t="s" s="114">
        <v>1059</v>
      </c>
      <c r="D112" t="s" s="38">
        <v>331</v>
      </c>
      <c r="E112" t="s" s="32">
        <v>68</v>
      </c>
      <c r="F112" t="s" s="32">
        <v>68</v>
      </c>
      <c r="G112" t="s" s="32">
        <v>68</v>
      </c>
      <c r="H112" t="s" s="32">
        <v>68</v>
      </c>
      <c r="I112" t="s" s="32">
        <v>68</v>
      </c>
      <c r="J112" t="s" s="32">
        <v>68</v>
      </c>
      <c r="K112" t="s" s="32">
        <v>68</v>
      </c>
      <c r="L112" t="s" s="32">
        <v>68</v>
      </c>
      <c r="M112" t="s" s="32">
        <v>68</v>
      </c>
      <c r="N112" t="s" s="32">
        <v>68</v>
      </c>
      <c r="O112" t="s" s="32">
        <v>68</v>
      </c>
      <c r="P112" t="s" s="32">
        <v>68</v>
      </c>
      <c r="Q112" t="s" s="32">
        <v>68</v>
      </c>
      <c r="R112" t="s" s="32">
        <v>68</v>
      </c>
      <c r="S112" t="s" s="32">
        <v>68</v>
      </c>
      <c r="T112" t="s" s="32">
        <v>68</v>
      </c>
      <c r="U112" t="s" s="32">
        <v>68</v>
      </c>
      <c r="V112" t="s" s="32">
        <v>68</v>
      </c>
      <c r="W112" t="s" s="32">
        <v>68</v>
      </c>
      <c r="X112" t="s" s="32">
        <v>68</v>
      </c>
      <c r="Y112" t="s" s="32">
        <v>68</v>
      </c>
      <c r="Z112" t="s" s="32">
        <v>68</v>
      </c>
      <c r="AA112" t="s" s="32">
        <v>68</v>
      </c>
      <c r="AB112" t="s" s="32">
        <v>68</v>
      </c>
      <c r="AC112" t="s" s="32">
        <v>68</v>
      </c>
      <c r="AD112" t="s" s="32">
        <v>68</v>
      </c>
      <c r="AE112" t="s" s="32">
        <v>68</v>
      </c>
      <c r="AF112" t="s" s="32">
        <v>68</v>
      </c>
      <c r="AG112" t="s" s="32">
        <v>68</v>
      </c>
      <c r="AH112" t="s" s="32">
        <v>68</v>
      </c>
      <c r="AI112" t="s" s="32">
        <v>68</v>
      </c>
      <c r="AJ112" t="s" s="32">
        <v>68</v>
      </c>
      <c r="AK112" t="s" s="32">
        <v>68</v>
      </c>
      <c r="AL112" t="s" s="32">
        <v>68</v>
      </c>
      <c r="AM112" t="s" s="32">
        <v>68</v>
      </c>
      <c r="AN112" t="s" s="32">
        <v>68</v>
      </c>
      <c r="AO112" t="s" s="32">
        <v>68</v>
      </c>
      <c r="AP112" t="s" s="32">
        <v>68</v>
      </c>
      <c r="AQ112" t="s" s="32">
        <v>68</v>
      </c>
      <c r="AR112" t="s" s="32">
        <v>68</v>
      </c>
      <c r="AS112" t="s" s="32">
        <v>68</v>
      </c>
      <c r="AT112" t="s" s="32">
        <v>68</v>
      </c>
      <c r="AU112" t="s" s="32">
        <v>68</v>
      </c>
      <c r="AV112" t="s" s="32">
        <v>68</v>
      </c>
      <c r="AW112" t="s" s="32">
        <v>68</v>
      </c>
      <c r="AX112" t="s" s="32">
        <v>68</v>
      </c>
      <c r="AY112" t="s" s="32">
        <v>68</v>
      </c>
      <c r="AZ112" t="s" s="32">
        <v>68</v>
      </c>
      <c r="BA112" t="s" s="32">
        <v>68</v>
      </c>
      <c r="BB112" t="s" s="32">
        <v>68</v>
      </c>
    </row>
    <row r="113" spans="1:54" ht="24">
      <c r="B113" s="145">
        <v>112</v>
      </c>
      <c r="C113" t="s" s="114">
        <v>1336</v>
      </c>
      <c r="D113" t="s" s="38">
        <v>1848</v>
      </c>
      <c r="E113" t="s" s="32">
        <v>68</v>
      </c>
      <c r="F113" t="s" s="32">
        <v>68</v>
      </c>
      <c r="G113" t="s" s="32">
        <v>68</v>
      </c>
      <c r="H113" t="s" s="32">
        <v>68</v>
      </c>
      <c r="I113" t="s" s="32">
        <v>68</v>
      </c>
      <c r="J113" t="s" s="32">
        <v>68</v>
      </c>
      <c r="K113" t="s" s="32">
        <v>68</v>
      </c>
      <c r="L113" t="s" s="32">
        <v>68</v>
      </c>
      <c r="M113" t="s" s="32">
        <v>68</v>
      </c>
      <c r="N113" t="s" s="32">
        <v>68</v>
      </c>
      <c r="O113" t="s" s="32">
        <v>68</v>
      </c>
      <c r="P113" t="s" s="32">
        <v>68</v>
      </c>
      <c r="Q113" t="s" s="32">
        <v>68</v>
      </c>
      <c r="R113" t="s" s="32">
        <v>68</v>
      </c>
      <c r="S113" t="s" s="32">
        <v>68</v>
      </c>
      <c r="T113" t="s" s="32">
        <v>68</v>
      </c>
      <c r="U113" t="s" s="32">
        <v>68</v>
      </c>
      <c r="V113" t="s" s="32">
        <v>68</v>
      </c>
      <c r="W113" t="s" s="32">
        <v>68</v>
      </c>
      <c r="X113" t="s" s="32">
        <v>68</v>
      </c>
      <c r="Y113" t="s" s="32">
        <v>68</v>
      </c>
      <c r="Z113" t="s" s="32">
        <v>68</v>
      </c>
      <c r="AA113" t="s" s="32">
        <v>68</v>
      </c>
      <c r="AB113" t="s" s="32">
        <v>68</v>
      </c>
      <c r="AC113" t="s" s="32">
        <v>68</v>
      </c>
      <c r="AD113" t="s" s="32">
        <v>68</v>
      </c>
      <c r="AE113" t="s" s="32">
        <v>68</v>
      </c>
      <c r="AF113" t="s" s="32">
        <v>68</v>
      </c>
      <c r="AG113" t="s" s="32">
        <v>68</v>
      </c>
      <c r="AH113" t="s" s="32">
        <v>68</v>
      </c>
      <c r="AI113" t="s" s="32">
        <v>68</v>
      </c>
      <c r="AJ113" t="s" s="32">
        <v>68</v>
      </c>
      <c r="AK113" t="s" s="32">
        <v>68</v>
      </c>
      <c r="AL113" t="s" s="32">
        <v>68</v>
      </c>
      <c r="AM113" t="s" s="32">
        <v>68</v>
      </c>
      <c r="AN113" t="s" s="32">
        <v>68</v>
      </c>
      <c r="AO113" t="s" s="32">
        <v>68</v>
      </c>
      <c r="AP113" t="s" s="32">
        <v>68</v>
      </c>
      <c r="AQ113" t="s" s="32">
        <v>68</v>
      </c>
      <c r="AR113" t="s" s="32">
        <v>68</v>
      </c>
      <c r="AS113" t="s" s="32">
        <v>68</v>
      </c>
      <c r="AT113" t="s" s="32">
        <v>68</v>
      </c>
      <c r="AU113" t="s" s="32">
        <v>68</v>
      </c>
      <c r="AV113" t="s" s="32">
        <v>68</v>
      </c>
      <c r="AW113" t="s" s="32">
        <v>68</v>
      </c>
      <c r="AX113" t="s" s="32">
        <v>68</v>
      </c>
      <c r="AY113" t="s" s="32">
        <v>68</v>
      </c>
      <c r="AZ113" t="s" s="32">
        <v>68</v>
      </c>
      <c r="BA113" t="s" s="32">
        <v>68</v>
      </c>
      <c r="BB113" t="s" s="32">
        <v>68</v>
      </c>
    </row>
    <row r="114" spans="1:54" ht="24">
      <c r="B114" s="145">
        <v>113</v>
      </c>
      <c r="C114" t="s" s="114">
        <v>1571</v>
      </c>
      <c r="D114" t="s" s="38">
        <v>1046</v>
      </c>
      <c r="E114" t="s" s="32">
        <v>68</v>
      </c>
      <c r="F114" t="s" s="32">
        <v>68</v>
      </c>
      <c r="G114" t="s" s="32">
        <v>68</v>
      </c>
      <c r="H114" t="s" s="32">
        <v>68</v>
      </c>
      <c r="I114" t="s" s="32">
        <v>68</v>
      </c>
      <c r="J114" t="s" s="32">
        <v>68</v>
      </c>
      <c r="K114" t="s" s="32">
        <v>68</v>
      </c>
      <c r="L114" t="s" s="32">
        <v>68</v>
      </c>
      <c r="M114" t="s" s="32">
        <v>68</v>
      </c>
      <c r="N114" t="s" s="32">
        <v>68</v>
      </c>
      <c r="O114" t="s" s="32">
        <v>68</v>
      </c>
      <c r="P114" t="s" s="32">
        <v>68</v>
      </c>
      <c r="Q114" t="s" s="32">
        <v>68</v>
      </c>
      <c r="R114" t="s" s="32">
        <v>68</v>
      </c>
      <c r="S114" t="s" s="32">
        <v>68</v>
      </c>
      <c r="T114" t="s" s="32">
        <v>68</v>
      </c>
      <c r="U114" t="s" s="32">
        <v>68</v>
      </c>
      <c r="V114" t="s" s="32">
        <v>68</v>
      </c>
      <c r="W114" t="s" s="32">
        <v>68</v>
      </c>
      <c r="X114" t="s" s="32">
        <v>68</v>
      </c>
      <c r="Y114" t="s" s="32">
        <v>68</v>
      </c>
      <c r="Z114" t="s" s="32">
        <v>68</v>
      </c>
      <c r="AA114" t="s" s="32">
        <v>68</v>
      </c>
      <c r="AB114" t="s" s="32">
        <v>68</v>
      </c>
      <c r="AC114" t="s" s="32">
        <v>68</v>
      </c>
      <c r="AD114" t="s" s="32">
        <v>68</v>
      </c>
      <c r="AE114" t="s" s="32">
        <v>68</v>
      </c>
      <c r="AF114" t="s" s="32">
        <v>68</v>
      </c>
      <c r="AG114" t="s" s="32">
        <v>68</v>
      </c>
      <c r="AH114" t="s" s="32">
        <v>68</v>
      </c>
      <c r="AI114" t="s" s="32">
        <v>68</v>
      </c>
      <c r="AJ114" t="s" s="32">
        <v>68</v>
      </c>
      <c r="AK114" t="s" s="32">
        <v>68</v>
      </c>
      <c r="AL114" t="s" s="32">
        <v>68</v>
      </c>
      <c r="AM114" t="s" s="32">
        <v>68</v>
      </c>
      <c r="AN114" t="s" s="32">
        <v>68</v>
      </c>
      <c r="AO114" t="s" s="32">
        <v>68</v>
      </c>
      <c r="AP114" t="s" s="32">
        <v>68</v>
      </c>
      <c r="AQ114" t="s" s="32">
        <v>68</v>
      </c>
      <c r="AR114" t="s" s="32">
        <v>68</v>
      </c>
      <c r="AS114" t="s" s="32">
        <v>68</v>
      </c>
      <c r="AT114" t="s" s="32">
        <v>68</v>
      </c>
      <c r="AU114" t="s" s="32">
        <v>68</v>
      </c>
      <c r="AV114" t="s" s="32">
        <v>68</v>
      </c>
      <c r="AW114" t="s" s="32">
        <v>68</v>
      </c>
      <c r="AX114" t="s" s="32">
        <v>68</v>
      </c>
      <c r="AY114" t="s" s="32">
        <v>68</v>
      </c>
      <c r="AZ114" t="s" s="32">
        <v>68</v>
      </c>
      <c r="BA114" t="s" s="32">
        <v>68</v>
      </c>
      <c r="BB114" t="s" s="32">
        <v>68</v>
      </c>
    </row>
    <row r="115" spans="1:54" ht="36">
      <c r="A115" t="s" s="157">
        <v>1833</v>
      </c>
      <c r="B115" s="145">
        <v>114</v>
      </c>
      <c r="C115" t="s" s="114">
        <v>494</v>
      </c>
      <c r="D115" t="s" s="38">
        <v>122</v>
      </c>
      <c r="E115" t="s" s="32">
        <v>816</v>
      </c>
      <c r="F115" t="s" s="32">
        <v>816</v>
      </c>
      <c r="G115" t="s" s="32">
        <v>816</v>
      </c>
      <c r="H115" t="s" s="32">
        <v>816</v>
      </c>
      <c r="I115" t="s" s="32">
        <v>816</v>
      </c>
      <c r="J115" t="s" s="32">
        <v>816</v>
      </c>
      <c r="K115" t="s" s="32">
        <v>816</v>
      </c>
      <c r="L115" t="s" s="32">
        <v>816</v>
      </c>
      <c r="M115" t="s" s="32">
        <v>816</v>
      </c>
      <c r="N115" t="s" s="32">
        <v>816</v>
      </c>
      <c r="O115" t="s" s="32">
        <v>816</v>
      </c>
      <c r="P115" t="s" s="32">
        <v>816</v>
      </c>
      <c r="Q115" t="s" s="32">
        <v>816</v>
      </c>
      <c r="R115" t="s" s="32">
        <v>816</v>
      </c>
      <c r="S115" t="s" s="32">
        <v>816</v>
      </c>
      <c r="T115" t="s" s="32">
        <v>816</v>
      </c>
      <c r="U115" t="s" s="32">
        <v>816</v>
      </c>
      <c r="V115" t="s" s="32">
        <v>816</v>
      </c>
      <c r="W115" t="s" s="32">
        <v>816</v>
      </c>
      <c r="X115" t="s" s="32">
        <v>816</v>
      </c>
      <c r="Y115" t="s" s="32">
        <v>816</v>
      </c>
      <c r="Z115" t="s" s="32">
        <v>816</v>
      </c>
      <c r="AA115" t="s" s="32">
        <v>816</v>
      </c>
      <c r="AB115" t="s" s="32">
        <v>816</v>
      </c>
      <c r="AC115" t="s" s="32">
        <v>816</v>
      </c>
      <c r="AD115" t="s" s="32">
        <v>816</v>
      </c>
      <c r="AE115" t="s" s="32">
        <v>816</v>
      </c>
      <c r="AF115" t="s" s="32">
        <v>816</v>
      </c>
      <c r="AG115" t="s" s="32">
        <v>816</v>
      </c>
      <c r="AH115" t="s" s="32">
        <v>816</v>
      </c>
      <c r="AI115" t="s" s="32">
        <v>816</v>
      </c>
      <c r="AJ115" t="s" s="32">
        <v>816</v>
      </c>
      <c r="AK115" t="s" s="32">
        <v>816</v>
      </c>
      <c r="AL115" t="s" s="32">
        <v>816</v>
      </c>
      <c r="AM115" t="s" s="32">
        <v>816</v>
      </c>
      <c r="AN115" t="s" s="32">
        <v>816</v>
      </c>
      <c r="AO115" t="s" s="32">
        <v>816</v>
      </c>
      <c r="AP115" t="s" s="32">
        <v>816</v>
      </c>
      <c r="AQ115" t="s" s="32">
        <v>816</v>
      </c>
      <c r="AR115" t="s" s="32">
        <v>816</v>
      </c>
      <c r="AS115" t="s" s="32">
        <v>816</v>
      </c>
      <c r="AT115" t="s" s="32">
        <v>816</v>
      </c>
      <c r="AU115" t="s" s="32">
        <v>816</v>
      </c>
      <c r="AV115" t="s" s="32">
        <v>816</v>
      </c>
      <c r="AW115" t="s" s="32">
        <v>816</v>
      </c>
      <c r="AX115" t="s" s="32">
        <v>816</v>
      </c>
      <c r="AY115" t="s" s="32">
        <v>816</v>
      </c>
      <c r="AZ115" t="s" s="32">
        <v>816</v>
      </c>
      <c r="BA115" t="s" s="32">
        <v>816</v>
      </c>
      <c r="BB115" t="s" s="32">
        <v>816</v>
      </c>
    </row>
    <row r="116" spans="1:54" ht="36">
      <c r="A116" t="s" s="157">
        <v>1833</v>
      </c>
      <c r="B116" s="145">
        <v>115</v>
      </c>
      <c r="C116" t="s" s="114">
        <v>1311</v>
      </c>
      <c r="D116" t="s" s="38">
        <v>438</v>
      </c>
      <c r="E116" t="s" s="32">
        <v>1055</v>
      </c>
      <c r="F116" t="s" s="32">
        <v>1055</v>
      </c>
      <c r="G116" t="s" s="32">
        <v>1055</v>
      </c>
      <c r="H116" t="s" s="32">
        <v>1055</v>
      </c>
      <c r="I116" t="s" s="32">
        <v>1055</v>
      </c>
      <c r="J116" t="s" s="32">
        <v>1055</v>
      </c>
      <c r="K116" t="s" s="32">
        <v>1055</v>
      </c>
      <c r="L116" t="s" s="32">
        <v>1055</v>
      </c>
      <c r="M116" t="s" s="32">
        <v>1055</v>
      </c>
      <c r="N116" t="s" s="32">
        <v>1055</v>
      </c>
      <c r="O116" t="s" s="32">
        <v>1055</v>
      </c>
      <c r="P116" t="s" s="32">
        <v>1055</v>
      </c>
      <c r="Q116" t="s" s="32">
        <v>1055</v>
      </c>
      <c r="R116" t="s" s="32">
        <v>1055</v>
      </c>
      <c r="S116" t="s" s="32">
        <v>1055</v>
      </c>
      <c r="T116" t="s" s="32">
        <v>1055</v>
      </c>
      <c r="U116" t="s" s="32">
        <v>1055</v>
      </c>
      <c r="V116" t="s" s="32">
        <v>1055</v>
      </c>
      <c r="W116" t="s" s="32">
        <v>1055</v>
      </c>
      <c r="X116" t="s" s="32">
        <v>1055</v>
      </c>
      <c r="Y116" t="s" s="32">
        <v>1055</v>
      </c>
      <c r="Z116" t="s" s="32">
        <v>1055</v>
      </c>
      <c r="AA116" t="s" s="32">
        <v>1055</v>
      </c>
      <c r="AB116" t="s" s="32">
        <v>1055</v>
      </c>
      <c r="AC116" t="s" s="32">
        <v>1055</v>
      </c>
      <c r="AD116" t="s" s="32">
        <v>1055</v>
      </c>
      <c r="AE116" t="s" s="32">
        <v>1055</v>
      </c>
      <c r="AF116" t="s" s="32">
        <v>1055</v>
      </c>
      <c r="AG116" t="s" s="32">
        <v>1055</v>
      </c>
      <c r="AH116" t="s" s="32">
        <v>1055</v>
      </c>
      <c r="AI116" t="s" s="32">
        <v>1055</v>
      </c>
      <c r="AJ116" t="s" s="32">
        <v>1055</v>
      </c>
      <c r="AK116" t="s" s="32">
        <v>1055</v>
      </c>
      <c r="AL116" t="s" s="32">
        <v>1055</v>
      </c>
      <c r="AM116" t="s" s="32">
        <v>1055</v>
      </c>
      <c r="AN116" t="s" s="32">
        <v>1055</v>
      </c>
      <c r="AO116" t="s" s="32">
        <v>1055</v>
      </c>
      <c r="AP116" t="s" s="32">
        <v>1055</v>
      </c>
      <c r="AQ116" t="s" s="32">
        <v>1055</v>
      </c>
      <c r="AR116" t="s" s="32">
        <v>1055</v>
      </c>
      <c r="AS116" t="s" s="32">
        <v>1055</v>
      </c>
      <c r="AT116" t="s" s="32">
        <v>1055</v>
      </c>
      <c r="AU116" t="s" s="32">
        <v>1055</v>
      </c>
      <c r="AV116" t="s" s="32">
        <v>1055</v>
      </c>
      <c r="AW116" t="s" s="32">
        <v>1055</v>
      </c>
      <c r="AX116" t="s" s="32">
        <v>1055</v>
      </c>
      <c r="AY116" t="s" s="32">
        <v>1055</v>
      </c>
      <c r="AZ116" t="s" s="32">
        <v>1055</v>
      </c>
      <c r="BA116" t="s" s="32">
        <v>1055</v>
      </c>
      <c r="BB116" t="s" s="32">
        <v>1055</v>
      </c>
    </row>
    <row r="117" spans="1:54" ht="24">
      <c r="A117" t="s" s="157">
        <v>1833</v>
      </c>
      <c r="B117" s="145">
        <v>116</v>
      </c>
      <c r="C117" t="s" s="114">
        <v>1412</v>
      </c>
      <c r="D117" t="s" s="38">
        <v>583</v>
      </c>
      <c r="E117" t="s" s="32">
        <v>1055</v>
      </c>
      <c r="F117" t="s" s="32">
        <v>1055</v>
      </c>
      <c r="G117" t="s" s="32">
        <v>1055</v>
      </c>
      <c r="H117" t="s" s="32">
        <v>1055</v>
      </c>
      <c r="I117" t="s" s="32">
        <v>1055</v>
      </c>
      <c r="J117" t="s" s="32">
        <v>1055</v>
      </c>
      <c r="K117" t="s" s="32">
        <v>1055</v>
      </c>
      <c r="L117" t="s" s="32">
        <v>1055</v>
      </c>
      <c r="M117" t="s" s="32">
        <v>1055</v>
      </c>
      <c r="N117" t="s" s="32">
        <v>1055</v>
      </c>
      <c r="O117" t="s" s="32">
        <v>1055</v>
      </c>
      <c r="P117" t="s" s="32">
        <v>1055</v>
      </c>
      <c r="Q117" t="s" s="32">
        <v>1055</v>
      </c>
      <c r="R117" t="s" s="32">
        <v>1055</v>
      </c>
      <c r="S117" t="s" s="32">
        <v>1055</v>
      </c>
      <c r="T117" t="s" s="32">
        <v>1055</v>
      </c>
      <c r="U117" t="s" s="32">
        <v>1055</v>
      </c>
      <c r="V117" t="s" s="32">
        <v>1055</v>
      </c>
      <c r="W117" t="s" s="32">
        <v>1055</v>
      </c>
      <c r="X117" t="s" s="32">
        <v>1055</v>
      </c>
      <c r="Y117" t="s" s="32">
        <v>1055</v>
      </c>
      <c r="Z117" t="s" s="32">
        <v>1055</v>
      </c>
      <c r="AA117" t="s" s="32">
        <v>1055</v>
      </c>
      <c r="AB117" t="s" s="32">
        <v>1055</v>
      </c>
      <c r="AC117" t="s" s="32">
        <v>1055</v>
      </c>
      <c r="AD117" t="s" s="32">
        <v>1055</v>
      </c>
      <c r="AE117" t="s" s="32">
        <v>1055</v>
      </c>
      <c r="AF117" t="s" s="32">
        <v>1055</v>
      </c>
      <c r="AG117" t="s" s="32">
        <v>1055</v>
      </c>
      <c r="AH117" t="s" s="32">
        <v>1055</v>
      </c>
      <c r="AI117" t="s" s="32">
        <v>1055</v>
      </c>
      <c r="AJ117" t="s" s="32">
        <v>1055</v>
      </c>
      <c r="AK117" t="s" s="32">
        <v>1055</v>
      </c>
      <c r="AL117" t="s" s="32">
        <v>1055</v>
      </c>
      <c r="AM117" t="s" s="32">
        <v>1055</v>
      </c>
      <c r="AN117" t="s" s="32">
        <v>1055</v>
      </c>
      <c r="AO117" t="s" s="32">
        <v>1055</v>
      </c>
      <c r="AP117" t="s" s="32">
        <v>1055</v>
      </c>
      <c r="AQ117" t="s" s="32">
        <v>1055</v>
      </c>
      <c r="AR117" t="s" s="32">
        <v>1055</v>
      </c>
      <c r="AS117" t="s" s="32">
        <v>1055</v>
      </c>
      <c r="AT117" t="s" s="32">
        <v>1055</v>
      </c>
      <c r="AU117" t="s" s="32">
        <v>1055</v>
      </c>
      <c r="AV117" t="s" s="32">
        <v>1055</v>
      </c>
      <c r="AW117" t="s" s="32">
        <v>1055</v>
      </c>
      <c r="AX117" t="s" s="32">
        <v>1055</v>
      </c>
      <c r="AY117" t="s" s="32">
        <v>1055</v>
      </c>
      <c r="AZ117" t="s" s="32">
        <v>1055</v>
      </c>
      <c r="BA117" t="s" s="32">
        <v>1055</v>
      </c>
      <c r="BB117" t="s" s="32">
        <v>1055</v>
      </c>
    </row>
    <row r="118" spans="1:54" ht="36">
      <c r="A118" t="s" s="157">
        <v>1833</v>
      </c>
      <c r="B118" s="145">
        <v>117</v>
      </c>
      <c r="C118" t="s" s="114">
        <v>229</v>
      </c>
      <c r="D118" t="s" s="38">
        <v>69</v>
      </c>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154"/>
      <c r="AB118" s="154"/>
      <c r="AC118" s="154"/>
      <c r="AD118" s="154"/>
      <c r="AE118" s="154"/>
      <c r="AF118" s="154"/>
      <c r="AG118" s="154"/>
      <c r="AH118" s="154"/>
      <c r="AI118" s="154"/>
      <c r="AJ118" s="154"/>
      <c r="AK118" s="154"/>
      <c r="AL118" s="154"/>
      <c r="AM118" s="154"/>
      <c r="AN118" s="154"/>
      <c r="AO118" s="154"/>
      <c r="AP118" s="154"/>
      <c r="AQ118" s="154"/>
      <c r="AR118" s="154"/>
      <c r="AS118" s="154"/>
      <c r="AT118" s="154"/>
      <c r="AU118" s="154"/>
      <c r="AV118" s="154"/>
      <c r="AW118" s="154"/>
      <c r="AX118" s="154"/>
      <c r="AY118" s="154"/>
      <c r="AZ118" s="154"/>
      <c r="BA118" s="154"/>
      <c r="BB118" s="154"/>
    </row>
    <row r="119" spans="1:54">
      <c r="B119" s="145">
        <v>118</v>
      </c>
      <c r="C119" t="s" s="114">
        <v>561</v>
      </c>
      <c r="D119" t="s" s="38">
        <v>1380</v>
      </c>
      <c r="E119" t="s" s="32">
        <v>68</v>
      </c>
      <c r="F119" t="s" s="32">
        <v>68</v>
      </c>
      <c r="G119" t="s" s="32">
        <v>68</v>
      </c>
      <c r="H119" t="s" s="32">
        <v>68</v>
      </c>
      <c r="I119" t="s" s="32">
        <v>68</v>
      </c>
      <c r="J119" t="s" s="32">
        <v>68</v>
      </c>
      <c r="K119" t="s" s="32">
        <v>68</v>
      </c>
      <c r="L119" t="s" s="32">
        <v>68</v>
      </c>
      <c r="M119" t="s" s="32">
        <v>68</v>
      </c>
      <c r="N119" t="s" s="32">
        <v>68</v>
      </c>
      <c r="O119" t="s" s="32">
        <v>68</v>
      </c>
      <c r="P119" t="s" s="32">
        <v>68</v>
      </c>
      <c r="Q119" t="s" s="32">
        <v>68</v>
      </c>
      <c r="R119" t="s" s="32">
        <v>68</v>
      </c>
      <c r="S119" t="s" s="32">
        <v>68</v>
      </c>
      <c r="T119" t="s" s="32">
        <v>68</v>
      </c>
      <c r="U119" t="s" s="32">
        <v>68</v>
      </c>
      <c r="V119" t="s" s="32">
        <v>68</v>
      </c>
      <c r="W119" t="s" s="32">
        <v>68</v>
      </c>
      <c r="X119" t="s" s="32">
        <v>68</v>
      </c>
      <c r="Y119" t="s" s="32">
        <v>68</v>
      </c>
      <c r="Z119" t="s" s="32">
        <v>68</v>
      </c>
      <c r="AA119" t="s" s="32">
        <v>68</v>
      </c>
      <c r="AB119" t="s" s="32">
        <v>68</v>
      </c>
      <c r="AC119" t="s" s="32">
        <v>68</v>
      </c>
      <c r="AD119" t="s" s="32">
        <v>68</v>
      </c>
      <c r="AE119" t="s" s="32">
        <v>68</v>
      </c>
      <c r="AF119" t="s" s="32">
        <v>68</v>
      </c>
      <c r="AG119" t="s" s="32">
        <v>68</v>
      </c>
      <c r="AH119" t="s" s="32">
        <v>68</v>
      </c>
      <c r="AI119" t="s" s="32">
        <v>68</v>
      </c>
      <c r="AJ119" t="s" s="32">
        <v>68</v>
      </c>
      <c r="AK119" t="s" s="32">
        <v>68</v>
      </c>
      <c r="AL119" t="s" s="32">
        <v>68</v>
      </c>
      <c r="AM119" t="s" s="32">
        <v>68</v>
      </c>
      <c r="AN119" t="s" s="32">
        <v>68</v>
      </c>
      <c r="AO119" t="s" s="32">
        <v>68</v>
      </c>
      <c r="AP119" t="s" s="32">
        <v>68</v>
      </c>
      <c r="AQ119" t="s" s="32">
        <v>68</v>
      </c>
      <c r="AR119" t="s" s="32">
        <v>68</v>
      </c>
      <c r="AS119" t="s" s="32">
        <v>68</v>
      </c>
      <c r="AT119" t="s" s="32">
        <v>68</v>
      </c>
      <c r="AU119" t="s" s="32">
        <v>68</v>
      </c>
      <c r="AV119" t="s" s="32">
        <v>68</v>
      </c>
      <c r="AW119" t="s" s="32">
        <v>68</v>
      </c>
      <c r="AX119" t="s" s="32">
        <v>68</v>
      </c>
      <c r="AY119" t="s" s="32">
        <v>68</v>
      </c>
      <c r="AZ119" t="s" s="32">
        <v>68</v>
      </c>
      <c r="BA119" t="s" s="32">
        <v>68</v>
      </c>
      <c r="BB119" t="s" s="32">
        <v>68</v>
      </c>
    </row>
    <row r="120" spans="1:54">
      <c r="B120" s="145">
        <v>119</v>
      </c>
      <c r="C120" t="s" s="114">
        <v>868</v>
      </c>
      <c r="D120" t="s" s="38">
        <v>1380</v>
      </c>
      <c r="E120" t="s" s="32">
        <v>68</v>
      </c>
      <c r="F120" t="s" s="32">
        <v>68</v>
      </c>
      <c r="G120" t="s" s="32">
        <v>68</v>
      </c>
      <c r="H120" t="s" s="32">
        <v>68</v>
      </c>
      <c r="I120" t="s" s="32">
        <v>68</v>
      </c>
      <c r="J120" t="s" s="32">
        <v>68</v>
      </c>
      <c r="K120" t="s" s="32">
        <v>68</v>
      </c>
      <c r="L120" t="s" s="32">
        <v>68</v>
      </c>
      <c r="M120" t="s" s="32">
        <v>68</v>
      </c>
      <c r="N120" t="s" s="32">
        <v>68</v>
      </c>
      <c r="O120" t="s" s="32">
        <v>68</v>
      </c>
      <c r="P120" t="s" s="32">
        <v>68</v>
      </c>
      <c r="Q120" t="s" s="32">
        <v>68</v>
      </c>
      <c r="R120" t="s" s="32">
        <v>68</v>
      </c>
      <c r="S120" t="s" s="32">
        <v>68</v>
      </c>
      <c r="T120" t="s" s="32">
        <v>68</v>
      </c>
      <c r="U120" t="s" s="32">
        <v>68</v>
      </c>
      <c r="V120" t="s" s="32">
        <v>68</v>
      </c>
      <c r="W120" t="s" s="32">
        <v>68</v>
      </c>
      <c r="X120" t="s" s="32">
        <v>68</v>
      </c>
      <c r="Y120" t="s" s="32">
        <v>68</v>
      </c>
      <c r="Z120" t="s" s="32">
        <v>68</v>
      </c>
      <c r="AA120" t="s" s="32">
        <v>68</v>
      </c>
      <c r="AB120" t="s" s="32">
        <v>68</v>
      </c>
      <c r="AC120" t="s" s="32">
        <v>68</v>
      </c>
      <c r="AD120" t="s" s="32">
        <v>68</v>
      </c>
      <c r="AE120" t="s" s="32">
        <v>68</v>
      </c>
      <c r="AF120" t="s" s="32">
        <v>68</v>
      </c>
      <c r="AG120" t="s" s="32">
        <v>68</v>
      </c>
      <c r="AH120" t="s" s="32">
        <v>68</v>
      </c>
      <c r="AI120" t="s" s="32">
        <v>68</v>
      </c>
      <c r="AJ120" t="s" s="32">
        <v>68</v>
      </c>
      <c r="AK120" t="s" s="32">
        <v>68</v>
      </c>
      <c r="AL120" t="s" s="32">
        <v>68</v>
      </c>
      <c r="AM120" t="s" s="32">
        <v>68</v>
      </c>
      <c r="AN120" t="s" s="32">
        <v>68</v>
      </c>
      <c r="AO120" t="s" s="32">
        <v>68</v>
      </c>
      <c r="AP120" t="s" s="32">
        <v>68</v>
      </c>
      <c r="AQ120" t="s" s="32">
        <v>68</v>
      </c>
      <c r="AR120" t="s" s="32">
        <v>68</v>
      </c>
      <c r="AS120" t="s" s="32">
        <v>68</v>
      </c>
      <c r="AT120" t="s" s="32">
        <v>68</v>
      </c>
      <c r="AU120" t="s" s="32">
        <v>68</v>
      </c>
      <c r="AV120" t="s" s="32">
        <v>68</v>
      </c>
      <c r="AW120" t="s" s="32">
        <v>68</v>
      </c>
      <c r="AX120" t="s" s="32">
        <v>68</v>
      </c>
      <c r="AY120" t="s" s="32">
        <v>68</v>
      </c>
      <c r="AZ120" t="s" s="32">
        <v>68</v>
      </c>
      <c r="BA120" t="s" s="32">
        <v>68</v>
      </c>
      <c r="BB120" t="s" s="32">
        <v>68</v>
      </c>
    </row>
    <row r="121" spans="1:54" ht="24">
      <c r="A121" t="s" s="157">
        <v>1833</v>
      </c>
      <c r="B121" s="145">
        <v>120</v>
      </c>
      <c r="C121" t="s" s="114">
        <v>1728</v>
      </c>
      <c r="D121" t="s" s="38">
        <v>1736</v>
      </c>
      <c r="E121" t="s" s="32">
        <v>1055</v>
      </c>
      <c r="F121" t="s" s="32">
        <v>1055</v>
      </c>
      <c r="G121" t="s" s="32">
        <v>1055</v>
      </c>
      <c r="H121" t="s" s="32">
        <v>1055</v>
      </c>
      <c r="I121" t="s" s="32">
        <v>1055</v>
      </c>
      <c r="J121" t="s" s="32">
        <v>1055</v>
      </c>
      <c r="K121" t="s" s="32">
        <v>1055</v>
      </c>
      <c r="L121" t="s" s="32">
        <v>1055</v>
      </c>
      <c r="M121" t="s" s="32">
        <v>1055</v>
      </c>
      <c r="N121" t="s" s="32">
        <v>1055</v>
      </c>
      <c r="O121" t="s" s="32">
        <v>1055</v>
      </c>
      <c r="P121" t="s" s="32">
        <v>1055</v>
      </c>
      <c r="Q121" t="s" s="32">
        <v>1055</v>
      </c>
      <c r="R121" t="s" s="32">
        <v>1055</v>
      </c>
      <c r="S121" t="s" s="32">
        <v>1055</v>
      </c>
      <c r="T121" t="s" s="32">
        <v>1055</v>
      </c>
      <c r="U121" t="s" s="32">
        <v>1055</v>
      </c>
      <c r="V121" t="s" s="32">
        <v>1055</v>
      </c>
      <c r="W121" t="s" s="32">
        <v>1055</v>
      </c>
      <c r="X121" t="s" s="32">
        <v>1055</v>
      </c>
      <c r="Y121" t="s" s="32">
        <v>1055</v>
      </c>
      <c r="Z121" t="s" s="32">
        <v>1055</v>
      </c>
      <c r="AA121" t="s" s="32">
        <v>1055</v>
      </c>
      <c r="AB121" t="s" s="32">
        <v>1055</v>
      </c>
      <c r="AC121" t="s" s="32">
        <v>1055</v>
      </c>
      <c r="AD121" t="s" s="32">
        <v>1055</v>
      </c>
      <c r="AE121" t="s" s="32">
        <v>1055</v>
      </c>
      <c r="AF121" t="s" s="32">
        <v>1055</v>
      </c>
      <c r="AG121" t="s" s="32">
        <v>1055</v>
      </c>
      <c r="AH121" t="s" s="32">
        <v>1055</v>
      </c>
      <c r="AI121" t="s" s="32">
        <v>1055</v>
      </c>
      <c r="AJ121" t="s" s="32">
        <v>1055</v>
      </c>
      <c r="AK121" t="s" s="32">
        <v>1055</v>
      </c>
      <c r="AL121" t="s" s="32">
        <v>1055</v>
      </c>
      <c r="AM121" t="s" s="32">
        <v>1055</v>
      </c>
      <c r="AN121" t="s" s="32">
        <v>1055</v>
      </c>
      <c r="AO121" t="s" s="32">
        <v>1055</v>
      </c>
      <c r="AP121" t="s" s="32">
        <v>1055</v>
      </c>
      <c r="AQ121" t="s" s="32">
        <v>1055</v>
      </c>
      <c r="AR121" t="s" s="32">
        <v>1055</v>
      </c>
      <c r="AS121" t="s" s="32">
        <v>1055</v>
      </c>
      <c r="AT121" t="s" s="32">
        <v>1055</v>
      </c>
      <c r="AU121" t="s" s="32">
        <v>1055</v>
      </c>
      <c r="AV121" t="s" s="32">
        <v>1055</v>
      </c>
      <c r="AW121" t="s" s="32">
        <v>1055</v>
      </c>
      <c r="AX121" t="s" s="32">
        <v>1055</v>
      </c>
      <c r="AY121" t="s" s="32">
        <v>1055</v>
      </c>
      <c r="AZ121" t="s" s="32">
        <v>1055</v>
      </c>
      <c r="BA121" t="s" s="32">
        <v>1055</v>
      </c>
      <c r="BB121" t="s" s="32">
        <v>1055</v>
      </c>
    </row>
    <row r="122" spans="1:54" ht="24">
      <c r="A122" t="s" s="157">
        <v>1833</v>
      </c>
      <c r="B122" s="145">
        <v>121</v>
      </c>
      <c r="C122" t="s" s="114">
        <v>850</v>
      </c>
      <c r="D122" t="s" s="38">
        <v>1743</v>
      </c>
      <c r="E122" s="154">
        <v>365</v>
      </c>
      <c r="F122" s="154">
        <v>365</v>
      </c>
      <c r="G122" s="154">
        <v>365</v>
      </c>
      <c r="H122" s="154">
        <v>365</v>
      </c>
      <c r="I122" s="154">
        <v>365</v>
      </c>
      <c r="J122" s="154">
        <v>365</v>
      </c>
      <c r="K122" s="154">
        <v>365</v>
      </c>
      <c r="L122" s="154">
        <v>365</v>
      </c>
      <c r="M122" s="154">
        <v>365</v>
      </c>
      <c r="N122" s="154">
        <v>365</v>
      </c>
      <c r="O122" s="154">
        <v>365</v>
      </c>
      <c r="P122" s="154">
        <v>365</v>
      </c>
      <c r="Q122" s="154">
        <v>365</v>
      </c>
      <c r="R122" s="154">
        <v>365</v>
      </c>
      <c r="S122" s="154">
        <v>365</v>
      </c>
      <c r="T122" s="154">
        <v>365</v>
      </c>
      <c r="U122" s="154">
        <v>365</v>
      </c>
      <c r="V122" s="154">
        <v>365</v>
      </c>
      <c r="W122" s="154">
        <v>365</v>
      </c>
      <c r="X122" s="154">
        <v>365</v>
      </c>
      <c r="Y122" s="154">
        <v>365</v>
      </c>
      <c r="Z122" s="154">
        <v>365</v>
      </c>
      <c r="AA122" s="154">
        <v>365</v>
      </c>
      <c r="AB122" s="154">
        <v>365</v>
      </c>
      <c r="AC122" s="154">
        <v>365</v>
      </c>
      <c r="AD122" s="154">
        <v>365</v>
      </c>
      <c r="AE122" s="154">
        <v>365</v>
      </c>
      <c r="AF122" s="154">
        <v>365</v>
      </c>
      <c r="AG122" s="154">
        <v>365</v>
      </c>
      <c r="AH122" s="154">
        <v>365</v>
      </c>
      <c r="AI122" s="154">
        <v>365</v>
      </c>
      <c r="AJ122" s="154">
        <v>365</v>
      </c>
      <c r="AK122" s="154">
        <v>365</v>
      </c>
      <c r="AL122" s="154">
        <v>365</v>
      </c>
      <c r="AM122" s="154">
        <v>365</v>
      </c>
      <c r="AN122" s="154">
        <v>365</v>
      </c>
      <c r="AO122" s="154">
        <v>365</v>
      </c>
      <c r="AP122" s="154">
        <v>365</v>
      </c>
      <c r="AQ122" s="154">
        <v>365</v>
      </c>
      <c r="AR122" s="154">
        <v>365</v>
      </c>
      <c r="AS122" s="154">
        <v>365</v>
      </c>
      <c r="AT122" s="154">
        <v>365</v>
      </c>
      <c r="AU122" s="154">
        <v>365</v>
      </c>
      <c r="AV122" s="154">
        <v>365</v>
      </c>
      <c r="AW122" s="154">
        <v>365</v>
      </c>
      <c r="AX122" s="154">
        <v>365</v>
      </c>
      <c r="AY122" s="154">
        <v>365</v>
      </c>
      <c r="AZ122" s="154">
        <v>365</v>
      </c>
      <c r="BA122" s="154">
        <v>365</v>
      </c>
      <c r="BB122" s="154">
        <v>365</v>
      </c>
    </row>
    <row r="123" spans="1:54" ht="24">
      <c r="A123" t="s" s="157">
        <v>1833</v>
      </c>
      <c r="B123" s="145">
        <v>122</v>
      </c>
      <c r="C123" t="s" s="114">
        <v>312</v>
      </c>
      <c r="D123" t="s" s="38">
        <v>834</v>
      </c>
      <c r="E123" s="154">
        <v>365</v>
      </c>
      <c r="F123" s="154">
        <v>365</v>
      </c>
      <c r="G123" s="154">
        <v>365</v>
      </c>
      <c r="H123" s="154">
        <v>365</v>
      </c>
      <c r="I123" s="154">
        <v>365</v>
      </c>
      <c r="J123" s="154">
        <v>365</v>
      </c>
      <c r="K123" s="154">
        <v>365</v>
      </c>
      <c r="L123" s="154">
        <v>365</v>
      </c>
      <c r="M123" s="154">
        <v>365</v>
      </c>
      <c r="N123" s="154">
        <v>365</v>
      </c>
      <c r="O123" s="154">
        <v>365</v>
      </c>
      <c r="P123" s="154">
        <v>365</v>
      </c>
      <c r="Q123" s="154">
        <v>365</v>
      </c>
      <c r="R123" s="154">
        <v>365</v>
      </c>
      <c r="S123" s="154">
        <v>365</v>
      </c>
      <c r="T123" s="154">
        <v>365</v>
      </c>
      <c r="U123" s="154">
        <v>365</v>
      </c>
      <c r="V123" s="154">
        <v>365</v>
      </c>
      <c r="W123" s="154">
        <v>365</v>
      </c>
      <c r="X123" s="154">
        <v>365</v>
      </c>
      <c r="Y123" s="154">
        <v>365</v>
      </c>
      <c r="Z123" s="154">
        <v>365</v>
      </c>
      <c r="AA123" s="154">
        <v>365</v>
      </c>
      <c r="AB123" s="154">
        <v>365</v>
      </c>
      <c r="AC123" s="154">
        <v>365</v>
      </c>
      <c r="AD123" s="154">
        <v>365</v>
      </c>
      <c r="AE123" s="154">
        <v>365</v>
      </c>
      <c r="AF123" s="154">
        <v>365</v>
      </c>
      <c r="AG123" s="154">
        <v>365</v>
      </c>
      <c r="AH123" s="154">
        <v>365</v>
      </c>
      <c r="AI123" s="154">
        <v>365</v>
      </c>
      <c r="AJ123" s="154">
        <v>365</v>
      </c>
      <c r="AK123" s="154">
        <v>365</v>
      </c>
      <c r="AL123" s="154">
        <v>365</v>
      </c>
      <c r="AM123" s="154">
        <v>365</v>
      </c>
      <c r="AN123" s="154">
        <v>365</v>
      </c>
      <c r="AO123" s="154">
        <v>365</v>
      </c>
      <c r="AP123" s="154">
        <v>365</v>
      </c>
      <c r="AQ123" s="154">
        <v>365</v>
      </c>
      <c r="AR123" s="154">
        <v>365</v>
      </c>
      <c r="AS123" s="154">
        <v>365</v>
      </c>
      <c r="AT123" s="154">
        <v>365</v>
      </c>
      <c r="AU123" s="154">
        <v>365</v>
      </c>
      <c r="AV123" s="154">
        <v>365</v>
      </c>
      <c r="AW123" s="154">
        <v>365</v>
      </c>
      <c r="AX123" s="154">
        <v>365</v>
      </c>
      <c r="AY123" s="154">
        <v>365</v>
      </c>
      <c r="AZ123" s="154">
        <v>365</v>
      </c>
      <c r="BA123" s="154">
        <v>365</v>
      </c>
      <c r="BB123" s="154">
        <v>365</v>
      </c>
    </row>
    <row r="124" spans="1:54">
      <c r="B124" s="145">
        <v>123</v>
      </c>
      <c r="C124" t="s" s="114">
        <v>20</v>
      </c>
      <c r="D124" t="s" s="38">
        <v>1380</v>
      </c>
      <c r="E124" t="s" s="32">
        <v>68</v>
      </c>
      <c r="F124" t="s" s="32">
        <v>68</v>
      </c>
      <c r="G124" t="s" s="32">
        <v>68</v>
      </c>
      <c r="H124" t="s" s="32">
        <v>68</v>
      </c>
      <c r="I124" t="s" s="32">
        <v>68</v>
      </c>
      <c r="J124" t="s" s="32">
        <v>68</v>
      </c>
      <c r="K124" t="s" s="32">
        <v>68</v>
      </c>
      <c r="L124" t="s" s="32">
        <v>68</v>
      </c>
      <c r="M124" t="s" s="32">
        <v>68</v>
      </c>
      <c r="N124" t="s" s="32">
        <v>68</v>
      </c>
      <c r="O124" t="s" s="32">
        <v>68</v>
      </c>
      <c r="P124" t="s" s="32">
        <v>68</v>
      </c>
      <c r="Q124" t="s" s="32">
        <v>68</v>
      </c>
      <c r="R124" t="s" s="32">
        <v>68</v>
      </c>
      <c r="S124" t="s" s="32">
        <v>68</v>
      </c>
      <c r="T124" t="s" s="32">
        <v>68</v>
      </c>
      <c r="U124" t="s" s="32">
        <v>68</v>
      </c>
      <c r="V124" t="s" s="32">
        <v>68</v>
      </c>
      <c r="W124" t="s" s="32">
        <v>68</v>
      </c>
      <c r="X124" t="s" s="32">
        <v>68</v>
      </c>
      <c r="Y124" t="s" s="32">
        <v>68</v>
      </c>
      <c r="Z124" t="s" s="32">
        <v>68</v>
      </c>
      <c r="AA124" t="s" s="32">
        <v>68</v>
      </c>
      <c r="AB124" t="s" s="32">
        <v>68</v>
      </c>
      <c r="AC124" t="s" s="32">
        <v>68</v>
      </c>
      <c r="AD124" t="s" s="32">
        <v>68</v>
      </c>
      <c r="AE124" t="s" s="32">
        <v>68</v>
      </c>
      <c r="AF124" t="s" s="32">
        <v>68</v>
      </c>
      <c r="AG124" t="s" s="32">
        <v>68</v>
      </c>
      <c r="AH124" t="s" s="32">
        <v>68</v>
      </c>
      <c r="AI124" t="s" s="32">
        <v>68</v>
      </c>
      <c r="AJ124" t="s" s="32">
        <v>68</v>
      </c>
      <c r="AK124" t="s" s="32">
        <v>68</v>
      </c>
      <c r="AL124" t="s" s="32">
        <v>68</v>
      </c>
      <c r="AM124" t="s" s="32">
        <v>68</v>
      </c>
      <c r="AN124" t="s" s="32">
        <v>68</v>
      </c>
      <c r="AO124" t="s" s="32">
        <v>68</v>
      </c>
      <c r="AP124" t="s" s="32">
        <v>68</v>
      </c>
      <c r="AQ124" t="s" s="32">
        <v>68</v>
      </c>
      <c r="AR124" t="s" s="32">
        <v>68</v>
      </c>
      <c r="AS124" t="s" s="32">
        <v>68</v>
      </c>
      <c r="AT124" t="s" s="32">
        <v>68</v>
      </c>
      <c r="AU124" t="s" s="32">
        <v>68</v>
      </c>
      <c r="AV124" t="s" s="32">
        <v>68</v>
      </c>
      <c r="AW124" t="s" s="32">
        <v>68</v>
      </c>
      <c r="AX124" t="s" s="32">
        <v>68</v>
      </c>
      <c r="AY124" t="s" s="32">
        <v>68</v>
      </c>
      <c r="AZ124" t="s" s="32">
        <v>68</v>
      </c>
      <c r="BA124" t="s" s="32">
        <v>68</v>
      </c>
      <c r="BB124" t="s" s="32">
        <v>68</v>
      </c>
    </row>
    <row r="125" spans="1:54">
      <c r="B125" s="145">
        <v>124</v>
      </c>
      <c r="C125" t="s" s="114">
        <v>1597</v>
      </c>
      <c r="D125" t="s" s="38">
        <v>1380</v>
      </c>
      <c r="E125" t="s" s="32">
        <v>68</v>
      </c>
      <c r="F125" t="s" s="32">
        <v>68</v>
      </c>
      <c r="G125" t="s" s="32">
        <v>68</v>
      </c>
      <c r="H125" t="s" s="32">
        <v>68</v>
      </c>
      <c r="I125" t="s" s="32">
        <v>68</v>
      </c>
      <c r="J125" t="s" s="32">
        <v>68</v>
      </c>
      <c r="K125" t="s" s="32">
        <v>68</v>
      </c>
      <c r="L125" t="s" s="32">
        <v>68</v>
      </c>
      <c r="M125" t="s" s="32">
        <v>68</v>
      </c>
      <c r="N125" t="s" s="32">
        <v>68</v>
      </c>
      <c r="O125" t="s" s="32">
        <v>68</v>
      </c>
      <c r="P125" t="s" s="32">
        <v>68</v>
      </c>
      <c r="Q125" t="s" s="32">
        <v>68</v>
      </c>
      <c r="R125" t="s" s="32">
        <v>68</v>
      </c>
      <c r="S125" t="s" s="32">
        <v>68</v>
      </c>
      <c r="T125" t="s" s="32">
        <v>68</v>
      </c>
      <c r="U125" t="s" s="32">
        <v>68</v>
      </c>
      <c r="V125" t="s" s="32">
        <v>68</v>
      </c>
      <c r="W125" t="s" s="32">
        <v>68</v>
      </c>
      <c r="X125" t="s" s="32">
        <v>68</v>
      </c>
      <c r="Y125" t="s" s="32">
        <v>68</v>
      </c>
      <c r="Z125" t="s" s="32">
        <v>68</v>
      </c>
      <c r="AA125" t="s" s="32">
        <v>68</v>
      </c>
      <c r="AB125" t="s" s="32">
        <v>68</v>
      </c>
      <c r="AC125" t="s" s="32">
        <v>68</v>
      </c>
      <c r="AD125" t="s" s="32">
        <v>68</v>
      </c>
      <c r="AE125" t="s" s="32">
        <v>68</v>
      </c>
      <c r="AF125" t="s" s="32">
        <v>68</v>
      </c>
      <c r="AG125" t="s" s="32">
        <v>68</v>
      </c>
      <c r="AH125" t="s" s="32">
        <v>68</v>
      </c>
      <c r="AI125" t="s" s="32">
        <v>68</v>
      </c>
      <c r="AJ125" t="s" s="32">
        <v>68</v>
      </c>
      <c r="AK125" t="s" s="32">
        <v>68</v>
      </c>
      <c r="AL125" t="s" s="32">
        <v>68</v>
      </c>
      <c r="AM125" t="s" s="32">
        <v>68</v>
      </c>
      <c r="AN125" t="s" s="32">
        <v>68</v>
      </c>
      <c r="AO125" t="s" s="32">
        <v>68</v>
      </c>
      <c r="AP125" t="s" s="32">
        <v>68</v>
      </c>
      <c r="AQ125" t="s" s="32">
        <v>68</v>
      </c>
      <c r="AR125" t="s" s="32">
        <v>68</v>
      </c>
      <c r="AS125" t="s" s="32">
        <v>68</v>
      </c>
      <c r="AT125" t="s" s="32">
        <v>68</v>
      </c>
      <c r="AU125" t="s" s="32">
        <v>68</v>
      </c>
      <c r="AV125" t="s" s="32">
        <v>68</v>
      </c>
      <c r="AW125" t="s" s="32">
        <v>68</v>
      </c>
      <c r="AX125" t="s" s="32">
        <v>68</v>
      </c>
      <c r="AY125" t="s" s="32">
        <v>68</v>
      </c>
      <c r="AZ125" t="s" s="32">
        <v>68</v>
      </c>
      <c r="BA125" t="s" s="32">
        <v>68</v>
      </c>
      <c r="BB125" t="s" s="32">
        <v>68</v>
      </c>
    </row>
    <row r="126" spans="1:54">
      <c r="B126" s="145">
        <v>125</v>
      </c>
      <c r="C126" t="s" s="114">
        <v>1442</v>
      </c>
      <c r="D126" t="s" s="38">
        <v>1380</v>
      </c>
      <c r="E126" t="s" s="32">
        <v>68</v>
      </c>
      <c r="F126" t="s" s="32">
        <v>68</v>
      </c>
      <c r="G126" t="s" s="32">
        <v>68</v>
      </c>
      <c r="H126" t="s" s="32">
        <v>68</v>
      </c>
      <c r="I126" t="s" s="32">
        <v>68</v>
      </c>
      <c r="J126" t="s" s="32">
        <v>68</v>
      </c>
      <c r="K126" t="s" s="32">
        <v>68</v>
      </c>
      <c r="L126" t="s" s="32">
        <v>68</v>
      </c>
      <c r="M126" t="s" s="32">
        <v>68</v>
      </c>
      <c r="N126" t="s" s="32">
        <v>68</v>
      </c>
      <c r="O126" t="s" s="32">
        <v>68</v>
      </c>
      <c r="P126" t="s" s="32">
        <v>68</v>
      </c>
      <c r="Q126" t="s" s="32">
        <v>68</v>
      </c>
      <c r="R126" t="s" s="32">
        <v>68</v>
      </c>
      <c r="S126" t="s" s="32">
        <v>68</v>
      </c>
      <c r="T126" t="s" s="32">
        <v>68</v>
      </c>
      <c r="U126" t="s" s="32">
        <v>68</v>
      </c>
      <c r="V126" t="s" s="32">
        <v>68</v>
      </c>
      <c r="W126" t="s" s="32">
        <v>68</v>
      </c>
      <c r="X126" t="s" s="32">
        <v>68</v>
      </c>
      <c r="Y126" t="s" s="32">
        <v>68</v>
      </c>
      <c r="Z126" t="s" s="32">
        <v>68</v>
      </c>
      <c r="AA126" t="s" s="32">
        <v>68</v>
      </c>
      <c r="AB126" t="s" s="32">
        <v>68</v>
      </c>
      <c r="AC126" t="s" s="32">
        <v>68</v>
      </c>
      <c r="AD126" t="s" s="32">
        <v>68</v>
      </c>
      <c r="AE126" t="s" s="32">
        <v>68</v>
      </c>
      <c r="AF126" t="s" s="32">
        <v>68</v>
      </c>
      <c r="AG126" t="s" s="32">
        <v>68</v>
      </c>
      <c r="AH126" t="s" s="32">
        <v>68</v>
      </c>
      <c r="AI126" t="s" s="32">
        <v>68</v>
      </c>
      <c r="AJ126" t="s" s="32">
        <v>68</v>
      </c>
      <c r="AK126" t="s" s="32">
        <v>68</v>
      </c>
      <c r="AL126" t="s" s="32">
        <v>68</v>
      </c>
      <c r="AM126" t="s" s="32">
        <v>68</v>
      </c>
      <c r="AN126" t="s" s="32">
        <v>68</v>
      </c>
      <c r="AO126" t="s" s="32">
        <v>68</v>
      </c>
      <c r="AP126" t="s" s="32">
        <v>68</v>
      </c>
      <c r="AQ126" t="s" s="32">
        <v>68</v>
      </c>
      <c r="AR126" t="s" s="32">
        <v>68</v>
      </c>
      <c r="AS126" t="s" s="32">
        <v>68</v>
      </c>
      <c r="AT126" t="s" s="32">
        <v>68</v>
      </c>
      <c r="AU126" t="s" s="32">
        <v>68</v>
      </c>
      <c r="AV126" t="s" s="32">
        <v>68</v>
      </c>
      <c r="AW126" t="s" s="32">
        <v>68</v>
      </c>
      <c r="AX126" t="s" s="32">
        <v>68</v>
      </c>
      <c r="AY126" t="s" s="32">
        <v>68</v>
      </c>
      <c r="AZ126" t="s" s="32">
        <v>68</v>
      </c>
      <c r="BA126" t="s" s="32">
        <v>68</v>
      </c>
      <c r="BB126" t="s" s="32">
        <v>68</v>
      </c>
    </row>
    <row r="127" spans="1:54">
      <c r="B127" s="145">
        <v>126</v>
      </c>
      <c r="C127" t="s" s="114">
        <v>730</v>
      </c>
      <c r="D127" t="s" s="38">
        <v>1380</v>
      </c>
      <c r="E127" t="s" s="32">
        <v>68</v>
      </c>
      <c r="F127" t="s" s="32">
        <v>68</v>
      </c>
      <c r="G127" t="s" s="32">
        <v>68</v>
      </c>
      <c r="H127" t="s" s="32">
        <v>68</v>
      </c>
      <c r="I127" t="s" s="32">
        <v>68</v>
      </c>
      <c r="J127" t="s" s="32">
        <v>68</v>
      </c>
      <c r="K127" t="s" s="32">
        <v>68</v>
      </c>
      <c r="L127" t="s" s="32">
        <v>68</v>
      </c>
      <c r="M127" t="s" s="32">
        <v>68</v>
      </c>
      <c r="N127" t="s" s="32">
        <v>68</v>
      </c>
      <c r="O127" t="s" s="32">
        <v>68</v>
      </c>
      <c r="P127" t="s" s="32">
        <v>68</v>
      </c>
      <c r="Q127" t="s" s="32">
        <v>68</v>
      </c>
      <c r="R127" t="s" s="32">
        <v>68</v>
      </c>
      <c r="S127" t="s" s="32">
        <v>68</v>
      </c>
      <c r="T127" t="s" s="32">
        <v>68</v>
      </c>
      <c r="U127" t="s" s="32">
        <v>68</v>
      </c>
      <c r="V127" t="s" s="32">
        <v>68</v>
      </c>
      <c r="W127" t="s" s="32">
        <v>68</v>
      </c>
      <c r="X127" t="s" s="32">
        <v>68</v>
      </c>
      <c r="Y127" t="s" s="32">
        <v>68</v>
      </c>
      <c r="Z127" t="s" s="32">
        <v>68</v>
      </c>
      <c r="AA127" t="s" s="32">
        <v>68</v>
      </c>
      <c r="AB127" t="s" s="32">
        <v>68</v>
      </c>
      <c r="AC127" t="s" s="32">
        <v>68</v>
      </c>
      <c r="AD127" t="s" s="32">
        <v>68</v>
      </c>
      <c r="AE127" t="s" s="32">
        <v>68</v>
      </c>
      <c r="AF127" t="s" s="32">
        <v>68</v>
      </c>
      <c r="AG127" t="s" s="32">
        <v>68</v>
      </c>
      <c r="AH127" t="s" s="32">
        <v>68</v>
      </c>
      <c r="AI127" t="s" s="32">
        <v>68</v>
      </c>
      <c r="AJ127" t="s" s="32">
        <v>68</v>
      </c>
      <c r="AK127" t="s" s="32">
        <v>68</v>
      </c>
      <c r="AL127" t="s" s="32">
        <v>68</v>
      </c>
      <c r="AM127" t="s" s="32">
        <v>68</v>
      </c>
      <c r="AN127" t="s" s="32">
        <v>68</v>
      </c>
      <c r="AO127" t="s" s="32">
        <v>68</v>
      </c>
      <c r="AP127" t="s" s="32">
        <v>68</v>
      </c>
      <c r="AQ127" t="s" s="32">
        <v>68</v>
      </c>
      <c r="AR127" t="s" s="32">
        <v>68</v>
      </c>
      <c r="AS127" t="s" s="32">
        <v>68</v>
      </c>
      <c r="AT127" t="s" s="32">
        <v>68</v>
      </c>
      <c r="AU127" t="s" s="32">
        <v>68</v>
      </c>
      <c r="AV127" t="s" s="32">
        <v>68</v>
      </c>
      <c r="AW127" t="s" s="32">
        <v>68</v>
      </c>
      <c r="AX127" t="s" s="32">
        <v>68</v>
      </c>
      <c r="AY127" t="s" s="32">
        <v>68</v>
      </c>
      <c r="AZ127" t="s" s="32">
        <v>68</v>
      </c>
      <c r="BA127" t="s" s="32">
        <v>68</v>
      </c>
      <c r="BB127" t="s" s="32">
        <v>68</v>
      </c>
    </row>
    <row r="128" spans="1:54">
      <c r="B128" s="145">
        <v>127</v>
      </c>
      <c r="C128" t="s" s="114">
        <v>407</v>
      </c>
      <c r="D128" t="s" s="38">
        <v>1380</v>
      </c>
      <c r="E128" t="s" s="32">
        <v>68</v>
      </c>
      <c r="F128" t="s" s="32">
        <v>68</v>
      </c>
      <c r="G128" t="s" s="32">
        <v>68</v>
      </c>
      <c r="H128" t="s" s="32">
        <v>68</v>
      </c>
      <c r="I128" t="s" s="32">
        <v>68</v>
      </c>
      <c r="J128" t="s" s="32">
        <v>68</v>
      </c>
      <c r="K128" t="s" s="32">
        <v>68</v>
      </c>
      <c r="L128" t="s" s="32">
        <v>68</v>
      </c>
      <c r="M128" t="s" s="32">
        <v>68</v>
      </c>
      <c r="N128" t="s" s="32">
        <v>68</v>
      </c>
      <c r="O128" t="s" s="32">
        <v>68</v>
      </c>
      <c r="P128" t="s" s="32">
        <v>68</v>
      </c>
      <c r="Q128" t="s" s="32">
        <v>68</v>
      </c>
      <c r="R128" t="s" s="32">
        <v>68</v>
      </c>
      <c r="S128" t="s" s="32">
        <v>68</v>
      </c>
      <c r="T128" t="s" s="32">
        <v>68</v>
      </c>
      <c r="U128" t="s" s="32">
        <v>68</v>
      </c>
      <c r="V128" t="s" s="32">
        <v>68</v>
      </c>
      <c r="W128" t="s" s="32">
        <v>68</v>
      </c>
      <c r="X128" t="s" s="32">
        <v>68</v>
      </c>
      <c r="Y128" t="s" s="32">
        <v>68</v>
      </c>
      <c r="Z128" t="s" s="32">
        <v>68</v>
      </c>
      <c r="AA128" t="s" s="32">
        <v>68</v>
      </c>
      <c r="AB128" t="s" s="32">
        <v>68</v>
      </c>
      <c r="AC128" t="s" s="32">
        <v>68</v>
      </c>
      <c r="AD128" t="s" s="32">
        <v>68</v>
      </c>
      <c r="AE128" t="s" s="32">
        <v>68</v>
      </c>
      <c r="AF128" t="s" s="32">
        <v>68</v>
      </c>
      <c r="AG128" t="s" s="32">
        <v>68</v>
      </c>
      <c r="AH128" t="s" s="32">
        <v>68</v>
      </c>
      <c r="AI128" t="s" s="32">
        <v>68</v>
      </c>
      <c r="AJ128" t="s" s="32">
        <v>68</v>
      </c>
      <c r="AK128" t="s" s="32">
        <v>68</v>
      </c>
      <c r="AL128" t="s" s="32">
        <v>68</v>
      </c>
      <c r="AM128" t="s" s="32">
        <v>68</v>
      </c>
      <c r="AN128" t="s" s="32">
        <v>68</v>
      </c>
      <c r="AO128" t="s" s="32">
        <v>68</v>
      </c>
      <c r="AP128" t="s" s="32">
        <v>68</v>
      </c>
      <c r="AQ128" t="s" s="32">
        <v>68</v>
      </c>
      <c r="AR128" t="s" s="32">
        <v>68</v>
      </c>
      <c r="AS128" t="s" s="32">
        <v>68</v>
      </c>
      <c r="AT128" t="s" s="32">
        <v>68</v>
      </c>
      <c r="AU128" t="s" s="32">
        <v>68</v>
      </c>
      <c r="AV128" t="s" s="32">
        <v>68</v>
      </c>
      <c r="AW128" t="s" s="32">
        <v>68</v>
      </c>
      <c r="AX128" t="s" s="32">
        <v>68</v>
      </c>
      <c r="AY128" t="s" s="32">
        <v>68</v>
      </c>
      <c r="AZ128" t="s" s="32">
        <v>68</v>
      </c>
      <c r="BA128" t="s" s="32">
        <v>68</v>
      </c>
      <c r="BB128" t="s" s="32">
        <v>68</v>
      </c>
    </row>
    <row r="129" spans="1:54" ht="24">
      <c r="A129" t="s" s="157">
        <v>1833</v>
      </c>
      <c r="B129" s="145">
        <v>128</v>
      </c>
      <c r="C129" t="s" s="114">
        <v>349</v>
      </c>
      <c r="D129" t="s" s="38">
        <v>687</v>
      </c>
      <c r="E129" s="154">
        <v>365</v>
      </c>
      <c r="F129" s="154">
        <v>365</v>
      </c>
      <c r="G129" s="154">
        <v>365</v>
      </c>
      <c r="H129" s="154">
        <v>365</v>
      </c>
      <c r="I129" s="154">
        <v>365</v>
      </c>
      <c r="J129" s="154">
        <v>365</v>
      </c>
      <c r="K129" s="154">
        <v>365</v>
      </c>
      <c r="L129" s="154">
        <v>365</v>
      </c>
      <c r="M129" s="154">
        <v>365</v>
      </c>
      <c r="N129" s="154">
        <v>365</v>
      </c>
      <c r="O129" s="154">
        <v>365</v>
      </c>
      <c r="P129" s="154">
        <v>365</v>
      </c>
      <c r="Q129" s="154">
        <v>365</v>
      </c>
      <c r="R129" s="154">
        <v>365</v>
      </c>
      <c r="S129" s="154">
        <v>365</v>
      </c>
      <c r="T129" s="154">
        <v>365</v>
      </c>
      <c r="U129" s="154">
        <v>365</v>
      </c>
      <c r="V129" s="154">
        <v>365</v>
      </c>
      <c r="W129" s="154">
        <v>365</v>
      </c>
      <c r="X129" s="154">
        <v>365</v>
      </c>
      <c r="Y129" s="154">
        <v>365</v>
      </c>
      <c r="Z129" s="154">
        <v>365</v>
      </c>
      <c r="AA129" s="154">
        <v>365</v>
      </c>
      <c r="AB129" s="154">
        <v>365</v>
      </c>
      <c r="AC129" s="154">
        <v>365</v>
      </c>
      <c r="AD129" s="154">
        <v>365</v>
      </c>
      <c r="AE129" s="154">
        <v>365</v>
      </c>
      <c r="AF129" s="154">
        <v>365</v>
      </c>
      <c r="AG129" s="154">
        <v>365</v>
      </c>
      <c r="AH129" s="154">
        <v>365</v>
      </c>
      <c r="AI129" s="154">
        <v>365</v>
      </c>
      <c r="AJ129" s="154">
        <v>365</v>
      </c>
      <c r="AK129" s="154">
        <v>365</v>
      </c>
      <c r="AL129" s="154">
        <v>365</v>
      </c>
      <c r="AM129" s="154">
        <v>365</v>
      </c>
      <c r="AN129" s="154">
        <v>365</v>
      </c>
      <c r="AO129" s="154">
        <v>365</v>
      </c>
      <c r="AP129" s="154">
        <v>365</v>
      </c>
      <c r="AQ129" s="154">
        <v>365</v>
      </c>
      <c r="AR129" s="154">
        <v>365</v>
      </c>
      <c r="AS129" s="154">
        <v>365</v>
      </c>
      <c r="AT129" s="154">
        <v>365</v>
      </c>
      <c r="AU129" s="154">
        <v>365</v>
      </c>
      <c r="AV129" s="154">
        <v>365</v>
      </c>
      <c r="AW129" s="154">
        <v>365</v>
      </c>
      <c r="AX129" s="154">
        <v>365</v>
      </c>
      <c r="AY129" s="154">
        <v>365</v>
      </c>
      <c r="AZ129" s="154">
        <v>365</v>
      </c>
      <c r="BA129" s="154">
        <v>365</v>
      </c>
      <c r="BB129" s="154">
        <v>365</v>
      </c>
    </row>
    <row r="130" spans="1:54">
      <c r="B130" s="145">
        <v>129</v>
      </c>
      <c r="C130" t="s" s="114">
        <v>855</v>
      </c>
      <c r="D130" t="s" s="38">
        <v>1380</v>
      </c>
      <c r="E130" t="s" s="32">
        <v>68</v>
      </c>
      <c r="F130" t="s" s="32">
        <v>68</v>
      </c>
      <c r="G130" t="s" s="32">
        <v>68</v>
      </c>
      <c r="H130" t="s" s="32">
        <v>68</v>
      </c>
      <c r="I130" t="s" s="32">
        <v>68</v>
      </c>
      <c r="J130" t="s" s="32">
        <v>68</v>
      </c>
      <c r="K130" t="s" s="32">
        <v>68</v>
      </c>
      <c r="L130" t="s" s="32">
        <v>68</v>
      </c>
      <c r="M130" t="s" s="32">
        <v>68</v>
      </c>
      <c r="N130" t="s" s="32">
        <v>68</v>
      </c>
      <c r="O130" t="s" s="32">
        <v>68</v>
      </c>
      <c r="P130" t="s" s="32">
        <v>68</v>
      </c>
      <c r="Q130" t="s" s="32">
        <v>68</v>
      </c>
      <c r="R130" t="s" s="32">
        <v>68</v>
      </c>
      <c r="S130" t="s" s="32">
        <v>68</v>
      </c>
      <c r="T130" t="s" s="32">
        <v>68</v>
      </c>
      <c r="U130" t="s" s="32">
        <v>68</v>
      </c>
      <c r="V130" t="s" s="32">
        <v>68</v>
      </c>
      <c r="W130" t="s" s="32">
        <v>68</v>
      </c>
      <c r="X130" t="s" s="32">
        <v>68</v>
      </c>
      <c r="Y130" t="s" s="32">
        <v>68</v>
      </c>
      <c r="Z130" t="s" s="32">
        <v>68</v>
      </c>
      <c r="AA130" t="s" s="32">
        <v>68</v>
      </c>
      <c r="AB130" t="s" s="32">
        <v>68</v>
      </c>
      <c r="AC130" t="s" s="32">
        <v>68</v>
      </c>
      <c r="AD130" t="s" s="32">
        <v>68</v>
      </c>
      <c r="AE130" t="s" s="32">
        <v>68</v>
      </c>
      <c r="AF130" t="s" s="32">
        <v>68</v>
      </c>
      <c r="AG130" t="s" s="32">
        <v>68</v>
      </c>
      <c r="AH130" t="s" s="32">
        <v>68</v>
      </c>
      <c r="AI130" t="s" s="32">
        <v>68</v>
      </c>
      <c r="AJ130" t="s" s="32">
        <v>68</v>
      </c>
      <c r="AK130" t="s" s="32">
        <v>68</v>
      </c>
      <c r="AL130" t="s" s="32">
        <v>68</v>
      </c>
      <c r="AM130" t="s" s="32">
        <v>68</v>
      </c>
      <c r="AN130" t="s" s="32">
        <v>68</v>
      </c>
      <c r="AO130" t="s" s="32">
        <v>68</v>
      </c>
      <c r="AP130" t="s" s="32">
        <v>68</v>
      </c>
      <c r="AQ130" t="s" s="32">
        <v>68</v>
      </c>
      <c r="AR130" t="s" s="32">
        <v>68</v>
      </c>
      <c r="AS130" t="s" s="32">
        <v>68</v>
      </c>
      <c r="AT130" t="s" s="32">
        <v>68</v>
      </c>
      <c r="AU130" t="s" s="32">
        <v>68</v>
      </c>
      <c r="AV130" t="s" s="32">
        <v>68</v>
      </c>
      <c r="AW130" t="s" s="32">
        <v>68</v>
      </c>
      <c r="AX130" t="s" s="32">
        <v>68</v>
      </c>
      <c r="AY130" t="s" s="32">
        <v>68</v>
      </c>
      <c r="AZ130" t="s" s="32">
        <v>68</v>
      </c>
      <c r="BA130" t="s" s="32">
        <v>68</v>
      </c>
      <c r="BB130" t="s" s="32">
        <v>68</v>
      </c>
    </row>
    <row r="131" spans="1:54">
      <c r="B131" s="145">
        <v>130</v>
      </c>
      <c r="C131" t="s" s="114">
        <v>799</v>
      </c>
      <c r="D131" t="s" s="38">
        <v>179</v>
      </c>
      <c r="E131" t="s" s="32">
        <v>68</v>
      </c>
      <c r="F131" t="s" s="32">
        <v>68</v>
      </c>
      <c r="G131" t="s" s="32">
        <v>68</v>
      </c>
      <c r="H131" t="s" s="32">
        <v>68</v>
      </c>
      <c r="I131" t="s" s="32">
        <v>68</v>
      </c>
      <c r="J131" t="s" s="32">
        <v>68</v>
      </c>
      <c r="K131" t="s" s="32">
        <v>68</v>
      </c>
      <c r="L131" t="s" s="32">
        <v>68</v>
      </c>
      <c r="M131" t="s" s="32">
        <v>68</v>
      </c>
      <c r="N131" t="s" s="32">
        <v>68</v>
      </c>
      <c r="O131" t="s" s="32">
        <v>68</v>
      </c>
      <c r="P131" t="s" s="32">
        <v>68</v>
      </c>
      <c r="Q131" t="s" s="32">
        <v>68</v>
      </c>
      <c r="R131" t="s" s="32">
        <v>68</v>
      </c>
      <c r="S131" t="s" s="32">
        <v>68</v>
      </c>
      <c r="T131" t="s" s="32">
        <v>68</v>
      </c>
      <c r="U131" t="s" s="32">
        <v>68</v>
      </c>
      <c r="V131" t="s" s="32">
        <v>68</v>
      </c>
      <c r="W131" t="s" s="32">
        <v>68</v>
      </c>
      <c r="X131" t="s" s="32">
        <v>68</v>
      </c>
      <c r="Y131" t="s" s="32">
        <v>68</v>
      </c>
      <c r="Z131" t="s" s="32">
        <v>68</v>
      </c>
      <c r="AA131" t="s" s="32">
        <v>68</v>
      </c>
      <c r="AB131" t="s" s="32">
        <v>68</v>
      </c>
      <c r="AC131" t="s" s="32">
        <v>68</v>
      </c>
      <c r="AD131" t="s" s="32">
        <v>68</v>
      </c>
      <c r="AE131" t="s" s="32">
        <v>68</v>
      </c>
      <c r="AF131" t="s" s="32">
        <v>68</v>
      </c>
      <c r="AG131" t="s" s="32">
        <v>68</v>
      </c>
      <c r="AH131" t="s" s="32">
        <v>68</v>
      </c>
      <c r="AI131" t="s" s="32">
        <v>68</v>
      </c>
      <c r="AJ131" t="s" s="32">
        <v>68</v>
      </c>
      <c r="AK131" t="s" s="32">
        <v>68</v>
      </c>
      <c r="AL131" t="s" s="32">
        <v>68</v>
      </c>
      <c r="AM131" t="s" s="32">
        <v>68</v>
      </c>
      <c r="AN131" t="s" s="32">
        <v>68</v>
      </c>
      <c r="AO131" t="s" s="32">
        <v>68</v>
      </c>
      <c r="AP131" t="s" s="32">
        <v>68</v>
      </c>
      <c r="AQ131" t="s" s="32">
        <v>68</v>
      </c>
      <c r="AR131" t="s" s="32">
        <v>68</v>
      </c>
      <c r="AS131" t="s" s="32">
        <v>68</v>
      </c>
      <c r="AT131" t="s" s="32">
        <v>68</v>
      </c>
      <c r="AU131" t="s" s="32">
        <v>68</v>
      </c>
      <c r="AV131" t="s" s="32">
        <v>68</v>
      </c>
      <c r="AW131" t="s" s="32">
        <v>68</v>
      </c>
      <c r="AX131" t="s" s="32">
        <v>68</v>
      </c>
      <c r="AY131" t="s" s="32">
        <v>68</v>
      </c>
      <c r="AZ131" t="s" s="32">
        <v>68</v>
      </c>
      <c r="BA131" t="s" s="32">
        <v>68</v>
      </c>
      <c r="BB131" t="s" s="32">
        <v>68</v>
      </c>
    </row>
    <row r="132" spans="1:54">
      <c r="B132" s="145">
        <v>131</v>
      </c>
      <c r="C132" t="s" s="114">
        <v>1047</v>
      </c>
      <c r="D132" t="s" s="38">
        <v>1380</v>
      </c>
      <c r="E132" t="s" s="32">
        <v>68</v>
      </c>
      <c r="F132" t="s" s="32">
        <v>68</v>
      </c>
      <c r="G132" t="s" s="32">
        <v>68</v>
      </c>
      <c r="H132" t="s" s="32">
        <v>68</v>
      </c>
      <c r="I132" t="s" s="32">
        <v>68</v>
      </c>
      <c r="J132" t="s" s="32">
        <v>68</v>
      </c>
      <c r="K132" t="s" s="32">
        <v>68</v>
      </c>
      <c r="L132" t="s" s="32">
        <v>68</v>
      </c>
      <c r="M132" t="s" s="32">
        <v>68</v>
      </c>
      <c r="N132" t="s" s="32">
        <v>68</v>
      </c>
      <c r="O132" t="s" s="32">
        <v>68</v>
      </c>
      <c r="P132" t="s" s="32">
        <v>68</v>
      </c>
      <c r="Q132" t="s" s="32">
        <v>68</v>
      </c>
      <c r="R132" t="s" s="32">
        <v>68</v>
      </c>
      <c r="S132" t="s" s="32">
        <v>68</v>
      </c>
      <c r="T132" t="s" s="32">
        <v>68</v>
      </c>
      <c r="U132" t="s" s="32">
        <v>68</v>
      </c>
      <c r="V132" t="s" s="32">
        <v>68</v>
      </c>
      <c r="W132" t="s" s="32">
        <v>68</v>
      </c>
      <c r="X132" t="s" s="32">
        <v>68</v>
      </c>
      <c r="Y132" t="s" s="32">
        <v>68</v>
      </c>
      <c r="Z132" t="s" s="32">
        <v>68</v>
      </c>
      <c r="AA132" t="s" s="32">
        <v>68</v>
      </c>
      <c r="AB132" t="s" s="32">
        <v>68</v>
      </c>
      <c r="AC132" t="s" s="32">
        <v>68</v>
      </c>
      <c r="AD132" t="s" s="32">
        <v>68</v>
      </c>
      <c r="AE132" t="s" s="32">
        <v>68</v>
      </c>
      <c r="AF132" t="s" s="32">
        <v>68</v>
      </c>
      <c r="AG132" t="s" s="32">
        <v>68</v>
      </c>
      <c r="AH132" t="s" s="32">
        <v>68</v>
      </c>
      <c r="AI132" t="s" s="32">
        <v>68</v>
      </c>
      <c r="AJ132" t="s" s="32">
        <v>68</v>
      </c>
      <c r="AK132" t="s" s="32">
        <v>68</v>
      </c>
      <c r="AL132" t="s" s="32">
        <v>68</v>
      </c>
      <c r="AM132" t="s" s="32">
        <v>68</v>
      </c>
      <c r="AN132" t="s" s="32">
        <v>68</v>
      </c>
      <c r="AO132" t="s" s="32">
        <v>68</v>
      </c>
      <c r="AP132" t="s" s="32">
        <v>68</v>
      </c>
      <c r="AQ132" t="s" s="32">
        <v>68</v>
      </c>
      <c r="AR132" t="s" s="32">
        <v>68</v>
      </c>
      <c r="AS132" t="s" s="32">
        <v>68</v>
      </c>
      <c r="AT132" t="s" s="32">
        <v>68</v>
      </c>
      <c r="AU132" t="s" s="32">
        <v>68</v>
      </c>
      <c r="AV132" t="s" s="32">
        <v>68</v>
      </c>
      <c r="AW132" t="s" s="32">
        <v>68</v>
      </c>
      <c r="AX132" t="s" s="32">
        <v>68</v>
      </c>
      <c r="AY132" t="s" s="32">
        <v>68</v>
      </c>
      <c r="AZ132" t="s" s="32">
        <v>68</v>
      </c>
      <c r="BA132" t="s" s="32">
        <v>68</v>
      </c>
      <c r="BB132" t="s" s="32">
        <v>68</v>
      </c>
    </row>
    <row r="133" spans="1:54">
      <c r="B133" s="145">
        <v>132</v>
      </c>
      <c r="C133" t="s" s="114">
        <v>638</v>
      </c>
      <c r="D133" t="s" s="38">
        <v>1380</v>
      </c>
      <c r="E133" t="s" s="32">
        <v>68</v>
      </c>
      <c r="F133" t="s" s="32">
        <v>68</v>
      </c>
      <c r="G133" t="s" s="32">
        <v>68</v>
      </c>
      <c r="H133" t="s" s="32">
        <v>68</v>
      </c>
      <c r="I133" t="s" s="32">
        <v>68</v>
      </c>
      <c r="J133" t="s" s="32">
        <v>68</v>
      </c>
      <c r="K133" t="s" s="32">
        <v>68</v>
      </c>
      <c r="L133" t="s" s="32">
        <v>68</v>
      </c>
      <c r="M133" t="s" s="32">
        <v>68</v>
      </c>
      <c r="N133" t="s" s="32">
        <v>68</v>
      </c>
      <c r="O133" t="s" s="32">
        <v>68</v>
      </c>
      <c r="P133" t="s" s="32">
        <v>68</v>
      </c>
      <c r="Q133" t="s" s="32">
        <v>68</v>
      </c>
      <c r="R133" t="s" s="32">
        <v>68</v>
      </c>
      <c r="S133" t="s" s="32">
        <v>68</v>
      </c>
      <c r="T133" t="s" s="32">
        <v>68</v>
      </c>
      <c r="U133" t="s" s="32">
        <v>68</v>
      </c>
      <c r="V133" t="s" s="32">
        <v>68</v>
      </c>
      <c r="W133" t="s" s="32">
        <v>68</v>
      </c>
      <c r="X133" t="s" s="32">
        <v>68</v>
      </c>
      <c r="Y133" t="s" s="32">
        <v>68</v>
      </c>
      <c r="Z133" t="s" s="32">
        <v>68</v>
      </c>
      <c r="AA133" t="s" s="32">
        <v>68</v>
      </c>
      <c r="AB133" t="s" s="32">
        <v>68</v>
      </c>
      <c r="AC133" t="s" s="32">
        <v>68</v>
      </c>
      <c r="AD133" t="s" s="32">
        <v>68</v>
      </c>
      <c r="AE133" t="s" s="32">
        <v>68</v>
      </c>
      <c r="AF133" t="s" s="32">
        <v>68</v>
      </c>
      <c r="AG133" t="s" s="32">
        <v>68</v>
      </c>
      <c r="AH133" t="s" s="32">
        <v>68</v>
      </c>
      <c r="AI133" t="s" s="32">
        <v>68</v>
      </c>
      <c r="AJ133" t="s" s="32">
        <v>68</v>
      </c>
      <c r="AK133" t="s" s="32">
        <v>68</v>
      </c>
      <c r="AL133" t="s" s="32">
        <v>68</v>
      </c>
      <c r="AM133" t="s" s="32">
        <v>68</v>
      </c>
      <c r="AN133" t="s" s="32">
        <v>68</v>
      </c>
      <c r="AO133" t="s" s="32">
        <v>68</v>
      </c>
      <c r="AP133" t="s" s="32">
        <v>68</v>
      </c>
      <c r="AQ133" t="s" s="32">
        <v>68</v>
      </c>
      <c r="AR133" t="s" s="32">
        <v>68</v>
      </c>
      <c r="AS133" t="s" s="32">
        <v>68</v>
      </c>
      <c r="AT133" t="s" s="32">
        <v>68</v>
      </c>
      <c r="AU133" t="s" s="32">
        <v>68</v>
      </c>
      <c r="AV133" t="s" s="32">
        <v>68</v>
      </c>
      <c r="AW133" t="s" s="32">
        <v>68</v>
      </c>
      <c r="AX133" t="s" s="32">
        <v>68</v>
      </c>
      <c r="AY133" t="s" s="32">
        <v>68</v>
      </c>
      <c r="AZ133" t="s" s="32">
        <v>68</v>
      </c>
      <c r="BA133" t="s" s="32">
        <v>68</v>
      </c>
      <c r="BB133" t="s" s="32">
        <v>68</v>
      </c>
    </row>
    <row r="134" spans="1:54">
      <c r="B134" s="145">
        <v>133</v>
      </c>
      <c r="C134" t="s" s="114">
        <v>514</v>
      </c>
      <c r="D134" t="s" s="38">
        <v>1380</v>
      </c>
      <c r="E134" t="s" s="32">
        <v>68</v>
      </c>
      <c r="F134" t="s" s="32">
        <v>68</v>
      </c>
      <c r="G134" t="s" s="32">
        <v>68</v>
      </c>
      <c r="H134" t="s" s="32">
        <v>68</v>
      </c>
      <c r="I134" t="s" s="32">
        <v>68</v>
      </c>
      <c r="J134" t="s" s="32">
        <v>68</v>
      </c>
      <c r="K134" t="s" s="32">
        <v>68</v>
      </c>
      <c r="L134" t="s" s="32">
        <v>68</v>
      </c>
      <c r="M134" t="s" s="32">
        <v>68</v>
      </c>
      <c r="N134" t="s" s="32">
        <v>68</v>
      </c>
      <c r="O134" t="s" s="32">
        <v>68</v>
      </c>
      <c r="P134" t="s" s="32">
        <v>68</v>
      </c>
      <c r="Q134" t="s" s="32">
        <v>68</v>
      </c>
      <c r="R134" t="s" s="32">
        <v>68</v>
      </c>
      <c r="S134" t="s" s="32">
        <v>68</v>
      </c>
      <c r="T134" t="s" s="32">
        <v>68</v>
      </c>
      <c r="U134" t="s" s="32">
        <v>68</v>
      </c>
      <c r="V134" t="s" s="32">
        <v>68</v>
      </c>
      <c r="W134" t="s" s="32">
        <v>68</v>
      </c>
      <c r="X134" t="s" s="32">
        <v>68</v>
      </c>
      <c r="Y134" t="s" s="32">
        <v>68</v>
      </c>
      <c r="Z134" t="s" s="32">
        <v>68</v>
      </c>
      <c r="AA134" t="s" s="32">
        <v>68</v>
      </c>
      <c r="AB134" t="s" s="32">
        <v>68</v>
      </c>
      <c r="AC134" t="s" s="32">
        <v>68</v>
      </c>
      <c r="AD134" t="s" s="32">
        <v>68</v>
      </c>
      <c r="AE134" t="s" s="32">
        <v>68</v>
      </c>
      <c r="AF134" t="s" s="32">
        <v>68</v>
      </c>
      <c r="AG134" t="s" s="32">
        <v>68</v>
      </c>
      <c r="AH134" t="s" s="32">
        <v>68</v>
      </c>
      <c r="AI134" t="s" s="32">
        <v>68</v>
      </c>
      <c r="AJ134" t="s" s="32">
        <v>68</v>
      </c>
      <c r="AK134" t="s" s="32">
        <v>68</v>
      </c>
      <c r="AL134" t="s" s="32">
        <v>68</v>
      </c>
      <c r="AM134" t="s" s="32">
        <v>68</v>
      </c>
      <c r="AN134" t="s" s="32">
        <v>68</v>
      </c>
      <c r="AO134" t="s" s="32">
        <v>68</v>
      </c>
      <c r="AP134" t="s" s="32">
        <v>68</v>
      </c>
      <c r="AQ134" t="s" s="32">
        <v>68</v>
      </c>
      <c r="AR134" t="s" s="32">
        <v>68</v>
      </c>
      <c r="AS134" t="s" s="32">
        <v>68</v>
      </c>
      <c r="AT134" t="s" s="32">
        <v>68</v>
      </c>
      <c r="AU134" t="s" s="32">
        <v>68</v>
      </c>
      <c r="AV134" t="s" s="32">
        <v>68</v>
      </c>
      <c r="AW134" t="s" s="32">
        <v>68</v>
      </c>
      <c r="AX134" t="s" s="32">
        <v>68</v>
      </c>
      <c r="AY134" t="s" s="32">
        <v>68</v>
      </c>
      <c r="AZ134" t="s" s="32">
        <v>68</v>
      </c>
      <c r="BA134" t="s" s="32">
        <v>68</v>
      </c>
      <c r="BB134" t="s" s="32">
        <v>68</v>
      </c>
    </row>
    <row r="135" spans="1:54">
      <c r="B135" s="145">
        <v>134</v>
      </c>
      <c r="C135" t="s" s="127">
        <v>495</v>
      </c>
      <c r="D135" t="s" s="38">
        <v>1856</v>
      </c>
      <c r="E135" t="s" s="32">
        <v>68</v>
      </c>
      <c r="F135" t="s" s="32">
        <v>68</v>
      </c>
      <c r="G135" t="s" s="32">
        <v>68</v>
      </c>
      <c r="H135" t="s" s="32">
        <v>68</v>
      </c>
      <c r="I135" t="s" s="32">
        <v>68</v>
      </c>
      <c r="J135" t="s" s="32">
        <v>68</v>
      </c>
      <c r="K135" t="s" s="32">
        <v>68</v>
      </c>
      <c r="L135" t="s" s="32">
        <v>68</v>
      </c>
      <c r="M135" t="s" s="32">
        <v>68</v>
      </c>
      <c r="N135" t="s" s="32">
        <v>68</v>
      </c>
      <c r="O135" t="s" s="32">
        <v>68</v>
      </c>
      <c r="P135" t="s" s="32">
        <v>68</v>
      </c>
      <c r="Q135" t="s" s="32">
        <v>68</v>
      </c>
      <c r="R135" t="s" s="32">
        <v>68</v>
      </c>
      <c r="S135" t="s" s="32">
        <v>68</v>
      </c>
      <c r="T135" t="s" s="32">
        <v>68</v>
      </c>
      <c r="U135" t="s" s="32">
        <v>68</v>
      </c>
      <c r="V135" t="s" s="32">
        <v>68</v>
      </c>
      <c r="W135" t="s" s="32">
        <v>68</v>
      </c>
      <c r="X135" t="s" s="32">
        <v>68</v>
      </c>
      <c r="Y135" t="s" s="32">
        <v>68</v>
      </c>
      <c r="Z135" t="s" s="32">
        <v>68</v>
      </c>
      <c r="AA135" t="s" s="32">
        <v>68</v>
      </c>
      <c r="AB135" t="s" s="32">
        <v>68</v>
      </c>
      <c r="AC135" t="s" s="32">
        <v>68</v>
      </c>
      <c r="AD135" t="s" s="32">
        <v>68</v>
      </c>
      <c r="AE135" t="s" s="32">
        <v>68</v>
      </c>
      <c r="AF135" t="s" s="32">
        <v>68</v>
      </c>
      <c r="AG135" t="s" s="32">
        <v>68</v>
      </c>
      <c r="AH135" t="s" s="32">
        <v>68</v>
      </c>
      <c r="AI135" t="s" s="32">
        <v>68</v>
      </c>
      <c r="AJ135" t="s" s="32">
        <v>68</v>
      </c>
      <c r="AK135" t="s" s="32">
        <v>68</v>
      </c>
      <c r="AL135" t="s" s="32">
        <v>68</v>
      </c>
      <c r="AM135" t="s" s="32">
        <v>68</v>
      </c>
      <c r="AN135" t="s" s="32">
        <v>68</v>
      </c>
      <c r="AO135" t="s" s="32">
        <v>68</v>
      </c>
      <c r="AP135" t="s" s="32">
        <v>68</v>
      </c>
      <c r="AQ135" t="s" s="32">
        <v>68</v>
      </c>
      <c r="AR135" t="s" s="32">
        <v>68</v>
      </c>
      <c r="AS135" t="s" s="32">
        <v>68</v>
      </c>
      <c r="AT135" t="s" s="32">
        <v>68</v>
      </c>
      <c r="AU135" t="s" s="32">
        <v>68</v>
      </c>
      <c r="AV135" t="s" s="32">
        <v>68</v>
      </c>
      <c r="AW135" t="s" s="32">
        <v>68</v>
      </c>
      <c r="AX135" t="s" s="32">
        <v>68</v>
      </c>
      <c r="AY135" t="s" s="32">
        <v>68</v>
      </c>
      <c r="AZ135" t="s" s="32">
        <v>68</v>
      </c>
      <c r="BA135" t="s" s="32">
        <v>68</v>
      </c>
      <c r="BB135" t="s" s="32">
        <v>68</v>
      </c>
    </row>
    <row r="136" spans="1:54">
      <c r="B136" s="145">
        <v>135</v>
      </c>
      <c r="C136" t="s" s="127">
        <v>1360</v>
      </c>
      <c r="D136" t="s" s="38">
        <v>221</v>
      </c>
      <c r="E136" t="s" s="32">
        <v>68</v>
      </c>
      <c r="F136" t="s" s="32">
        <v>68</v>
      </c>
      <c r="G136" t="s" s="32">
        <v>68</v>
      </c>
      <c r="H136" t="s" s="32">
        <v>68</v>
      </c>
      <c r="I136" t="s" s="32">
        <v>68</v>
      </c>
      <c r="J136" t="s" s="32">
        <v>68</v>
      </c>
      <c r="K136" t="s" s="32">
        <v>68</v>
      </c>
      <c r="L136" t="s" s="32">
        <v>68</v>
      </c>
      <c r="M136" t="s" s="32">
        <v>68</v>
      </c>
      <c r="N136" t="s" s="32">
        <v>68</v>
      </c>
      <c r="O136" t="s" s="32">
        <v>68</v>
      </c>
      <c r="P136" t="s" s="32">
        <v>68</v>
      </c>
      <c r="Q136" t="s" s="32">
        <v>68</v>
      </c>
      <c r="R136" t="s" s="32">
        <v>68</v>
      </c>
      <c r="S136" t="s" s="32">
        <v>68</v>
      </c>
      <c r="T136" t="s" s="32">
        <v>68</v>
      </c>
      <c r="U136" t="s" s="32">
        <v>68</v>
      </c>
      <c r="V136" t="s" s="32">
        <v>68</v>
      </c>
      <c r="W136" t="s" s="32">
        <v>68</v>
      </c>
      <c r="X136" t="s" s="32">
        <v>68</v>
      </c>
      <c r="Y136" t="s" s="32">
        <v>68</v>
      </c>
      <c r="Z136" t="s" s="32">
        <v>68</v>
      </c>
      <c r="AA136" t="s" s="32">
        <v>68</v>
      </c>
      <c r="AB136" t="s" s="32">
        <v>68</v>
      </c>
      <c r="AC136" t="s" s="32">
        <v>68</v>
      </c>
      <c r="AD136" t="s" s="32">
        <v>68</v>
      </c>
      <c r="AE136" t="s" s="32">
        <v>68</v>
      </c>
      <c r="AF136" t="s" s="32">
        <v>68</v>
      </c>
      <c r="AG136" t="s" s="32">
        <v>68</v>
      </c>
      <c r="AH136" t="s" s="32">
        <v>68</v>
      </c>
      <c r="AI136" t="s" s="32">
        <v>68</v>
      </c>
      <c r="AJ136" t="s" s="32">
        <v>68</v>
      </c>
      <c r="AK136" t="s" s="32">
        <v>68</v>
      </c>
      <c r="AL136" t="s" s="32">
        <v>68</v>
      </c>
      <c r="AM136" t="s" s="32">
        <v>68</v>
      </c>
      <c r="AN136" t="s" s="32">
        <v>68</v>
      </c>
      <c r="AO136" t="s" s="32">
        <v>68</v>
      </c>
      <c r="AP136" t="s" s="32">
        <v>68</v>
      </c>
      <c r="AQ136" t="s" s="32">
        <v>68</v>
      </c>
      <c r="AR136" t="s" s="32">
        <v>68</v>
      </c>
      <c r="AS136" t="s" s="32">
        <v>68</v>
      </c>
      <c r="AT136" t="s" s="32">
        <v>68</v>
      </c>
      <c r="AU136" t="s" s="32">
        <v>68</v>
      </c>
      <c r="AV136" t="s" s="32">
        <v>68</v>
      </c>
      <c r="AW136" t="s" s="32">
        <v>68</v>
      </c>
      <c r="AX136" t="s" s="32">
        <v>68</v>
      </c>
      <c r="AY136" t="s" s="32">
        <v>68</v>
      </c>
      <c r="AZ136" t="s" s="32">
        <v>68</v>
      </c>
      <c r="BA136" t="s" s="32">
        <v>68</v>
      </c>
      <c r="BB136" t="s" s="32">
        <v>68</v>
      </c>
    </row>
    <row r="137" spans="1:54">
      <c r="B137" s="145">
        <v>136</v>
      </c>
      <c r="C137" t="s" s="127">
        <v>453</v>
      </c>
      <c r="D137" t="s" s="38">
        <v>1489</v>
      </c>
      <c r="E137" t="s" s="32">
        <v>68</v>
      </c>
      <c r="F137" t="s" s="32">
        <v>68</v>
      </c>
      <c r="G137" t="s" s="32">
        <v>68</v>
      </c>
      <c r="H137" t="s" s="32">
        <v>68</v>
      </c>
      <c r="I137" t="s" s="32">
        <v>68</v>
      </c>
      <c r="J137" t="s" s="32">
        <v>68</v>
      </c>
      <c r="K137" t="s" s="32">
        <v>68</v>
      </c>
      <c r="L137" t="s" s="32">
        <v>68</v>
      </c>
      <c r="M137" t="s" s="32">
        <v>68</v>
      </c>
      <c r="N137" t="s" s="32">
        <v>68</v>
      </c>
      <c r="O137" t="s" s="32">
        <v>68</v>
      </c>
      <c r="P137" t="s" s="32">
        <v>68</v>
      </c>
      <c r="Q137" t="s" s="32">
        <v>68</v>
      </c>
      <c r="R137" t="s" s="32">
        <v>68</v>
      </c>
      <c r="S137" t="s" s="32">
        <v>68</v>
      </c>
      <c r="T137" t="s" s="32">
        <v>68</v>
      </c>
      <c r="U137" t="s" s="32">
        <v>68</v>
      </c>
      <c r="V137" t="s" s="32">
        <v>68</v>
      </c>
      <c r="W137" t="s" s="32">
        <v>68</v>
      </c>
      <c r="X137" t="s" s="32">
        <v>68</v>
      </c>
      <c r="Y137" t="s" s="32">
        <v>68</v>
      </c>
      <c r="Z137" t="s" s="32">
        <v>68</v>
      </c>
      <c r="AA137" t="s" s="32">
        <v>68</v>
      </c>
      <c r="AB137" t="s" s="32">
        <v>68</v>
      </c>
      <c r="AC137" t="s" s="32">
        <v>68</v>
      </c>
      <c r="AD137" t="s" s="32">
        <v>68</v>
      </c>
      <c r="AE137" t="s" s="32">
        <v>68</v>
      </c>
      <c r="AF137" t="s" s="32">
        <v>68</v>
      </c>
      <c r="AG137" t="s" s="32">
        <v>68</v>
      </c>
      <c r="AH137" t="s" s="32">
        <v>68</v>
      </c>
      <c r="AI137" t="s" s="32">
        <v>68</v>
      </c>
      <c r="AJ137" t="s" s="32">
        <v>68</v>
      </c>
      <c r="AK137" t="s" s="32">
        <v>68</v>
      </c>
      <c r="AL137" t="s" s="32">
        <v>68</v>
      </c>
      <c r="AM137" t="s" s="32">
        <v>68</v>
      </c>
      <c r="AN137" t="s" s="32">
        <v>68</v>
      </c>
      <c r="AO137" t="s" s="32">
        <v>68</v>
      </c>
      <c r="AP137" t="s" s="32">
        <v>68</v>
      </c>
      <c r="AQ137" t="s" s="32">
        <v>68</v>
      </c>
      <c r="AR137" t="s" s="32">
        <v>68</v>
      </c>
      <c r="AS137" t="s" s="32">
        <v>68</v>
      </c>
      <c r="AT137" t="s" s="32">
        <v>68</v>
      </c>
      <c r="AU137" t="s" s="32">
        <v>68</v>
      </c>
      <c r="AV137" t="s" s="32">
        <v>68</v>
      </c>
      <c r="AW137" t="s" s="32">
        <v>68</v>
      </c>
      <c r="AX137" t="s" s="32">
        <v>68</v>
      </c>
      <c r="AY137" t="s" s="32">
        <v>68</v>
      </c>
      <c r="AZ137" t="s" s="32">
        <v>68</v>
      </c>
      <c r="BA137" t="s" s="32">
        <v>68</v>
      </c>
      <c r="BB137" t="s" s="32">
        <v>68</v>
      </c>
    </row>
    <row r="138" spans="1:54" ht="24">
      <c r="B138" s="145">
        <v>137</v>
      </c>
      <c r="C138" t="s" s="114">
        <v>685</v>
      </c>
      <c r="D138" t="s" s="38">
        <v>1386</v>
      </c>
      <c r="E138" t="s" s="32">
        <v>68</v>
      </c>
      <c r="F138" t="s" s="32">
        <v>68</v>
      </c>
      <c r="G138" t="s" s="32">
        <v>68</v>
      </c>
      <c r="H138" t="s" s="32">
        <v>68</v>
      </c>
      <c r="I138" t="s" s="32">
        <v>68</v>
      </c>
      <c r="J138" t="s" s="32">
        <v>68</v>
      </c>
      <c r="K138" t="s" s="32">
        <v>68</v>
      </c>
      <c r="L138" t="s" s="32">
        <v>68</v>
      </c>
      <c r="M138" t="s" s="32">
        <v>68</v>
      </c>
      <c r="N138" t="s" s="32">
        <v>68</v>
      </c>
      <c r="O138" t="s" s="32">
        <v>68</v>
      </c>
      <c r="P138" t="s" s="32">
        <v>68</v>
      </c>
      <c r="Q138" t="s" s="32">
        <v>68</v>
      </c>
      <c r="R138" t="s" s="32">
        <v>68</v>
      </c>
      <c r="S138" t="s" s="32">
        <v>68</v>
      </c>
      <c r="T138" t="s" s="32">
        <v>68</v>
      </c>
      <c r="U138" t="s" s="32">
        <v>68</v>
      </c>
      <c r="V138" t="s" s="32">
        <v>68</v>
      </c>
      <c r="W138" t="s" s="32">
        <v>68</v>
      </c>
      <c r="X138" t="s" s="32">
        <v>68</v>
      </c>
      <c r="Y138" t="s" s="32">
        <v>68</v>
      </c>
      <c r="Z138" t="s" s="32">
        <v>68</v>
      </c>
      <c r="AA138" t="s" s="32">
        <v>68</v>
      </c>
      <c r="AB138" t="s" s="32">
        <v>68</v>
      </c>
      <c r="AC138" t="s" s="32">
        <v>68</v>
      </c>
      <c r="AD138" t="s" s="32">
        <v>68</v>
      </c>
      <c r="AE138" t="s" s="32">
        <v>68</v>
      </c>
      <c r="AF138" t="s" s="32">
        <v>68</v>
      </c>
      <c r="AG138" t="s" s="32">
        <v>68</v>
      </c>
      <c r="AH138" t="s" s="32">
        <v>68</v>
      </c>
      <c r="AI138" t="s" s="32">
        <v>68</v>
      </c>
      <c r="AJ138" t="s" s="32">
        <v>68</v>
      </c>
      <c r="AK138" t="s" s="32">
        <v>68</v>
      </c>
      <c r="AL138" t="s" s="32">
        <v>68</v>
      </c>
      <c r="AM138" t="s" s="32">
        <v>68</v>
      </c>
      <c r="AN138" t="s" s="32">
        <v>68</v>
      </c>
      <c r="AO138" t="s" s="32">
        <v>68</v>
      </c>
      <c r="AP138" t="s" s="32">
        <v>68</v>
      </c>
      <c r="AQ138" t="s" s="32">
        <v>68</v>
      </c>
      <c r="AR138" t="s" s="32">
        <v>68</v>
      </c>
      <c r="AS138" t="s" s="32">
        <v>68</v>
      </c>
      <c r="AT138" t="s" s="32">
        <v>68</v>
      </c>
      <c r="AU138" t="s" s="32">
        <v>68</v>
      </c>
      <c r="AV138" t="s" s="32">
        <v>68</v>
      </c>
      <c r="AW138" t="s" s="32">
        <v>68</v>
      </c>
      <c r="AX138" t="s" s="32">
        <v>68</v>
      </c>
      <c r="AY138" t="s" s="32">
        <v>68</v>
      </c>
      <c r="AZ138" t="s" s="32">
        <v>68</v>
      </c>
      <c r="BA138" t="s" s="32">
        <v>68</v>
      </c>
      <c r="BB138" t="s" s="32">
        <v>68</v>
      </c>
    </row>
    <row r="139" spans="1:54">
      <c r="B139" s="145">
        <v>138</v>
      </c>
      <c r="C139" t="s" s="114">
        <v>1220</v>
      </c>
      <c r="D139" t="s" s="38">
        <v>1732</v>
      </c>
      <c r="E139" t="s" s="125">
        <v>68</v>
      </c>
      <c r="F139" t="s" s="125">
        <v>68</v>
      </c>
      <c r="G139" t="s" s="125">
        <v>68</v>
      </c>
      <c r="H139" t="s" s="125">
        <v>68</v>
      </c>
      <c r="I139" t="s" s="125">
        <v>68</v>
      </c>
      <c r="J139" t="s" s="125">
        <v>68</v>
      </c>
      <c r="K139" t="s" s="125">
        <v>68</v>
      </c>
      <c r="L139" t="s" s="125">
        <v>68</v>
      </c>
      <c r="M139" t="s" s="125">
        <v>68</v>
      </c>
      <c r="N139" t="s" s="125">
        <v>68</v>
      </c>
      <c r="O139" t="s" s="125">
        <v>68</v>
      </c>
      <c r="P139" t="s" s="125">
        <v>68</v>
      </c>
      <c r="Q139" t="s" s="125">
        <v>68</v>
      </c>
      <c r="R139" t="s" s="125">
        <v>68</v>
      </c>
      <c r="S139" t="s" s="125">
        <v>68</v>
      </c>
      <c r="T139" t="s" s="125">
        <v>68</v>
      </c>
      <c r="U139" t="s" s="125">
        <v>68</v>
      </c>
      <c r="V139" t="s" s="125">
        <v>68</v>
      </c>
      <c r="W139" t="s" s="125">
        <v>68</v>
      </c>
      <c r="X139" t="s" s="125">
        <v>68</v>
      </c>
      <c r="Y139" t="s" s="125">
        <v>68</v>
      </c>
      <c r="Z139" t="s" s="125">
        <v>68</v>
      </c>
      <c r="AA139" t="s" s="125">
        <v>68</v>
      </c>
      <c r="AB139" t="s" s="125">
        <v>68</v>
      </c>
      <c r="AC139" t="s" s="125">
        <v>68</v>
      </c>
      <c r="AD139" t="s" s="125">
        <v>68</v>
      </c>
      <c r="AE139" t="s" s="125">
        <v>68</v>
      </c>
      <c r="AF139" t="s" s="125">
        <v>68</v>
      </c>
      <c r="AG139" t="s" s="125">
        <v>68</v>
      </c>
      <c r="AH139" t="s" s="125">
        <v>68</v>
      </c>
      <c r="AI139" t="s" s="125">
        <v>68</v>
      </c>
      <c r="AJ139" t="s" s="125">
        <v>68</v>
      </c>
      <c r="AK139" t="s" s="125">
        <v>68</v>
      </c>
      <c r="AL139" t="s" s="125">
        <v>68</v>
      </c>
      <c r="AM139" t="s" s="125">
        <v>68</v>
      </c>
      <c r="AN139" t="s" s="125">
        <v>68</v>
      </c>
      <c r="AO139" t="s" s="125">
        <v>68</v>
      </c>
      <c r="AP139" t="s" s="125">
        <v>68</v>
      </c>
      <c r="AQ139" t="s" s="125">
        <v>68</v>
      </c>
      <c r="AR139" t="s" s="125">
        <v>68</v>
      </c>
      <c r="AS139" t="s" s="125">
        <v>68</v>
      </c>
      <c r="AT139" t="s" s="125">
        <v>68</v>
      </c>
      <c r="AU139" t="s" s="125">
        <v>68</v>
      </c>
      <c r="AV139" t="s" s="125">
        <v>68</v>
      </c>
      <c r="AW139" t="s" s="125">
        <v>68</v>
      </c>
      <c r="AX139" t="s" s="125">
        <v>68</v>
      </c>
      <c r="AY139" t="s" s="125">
        <v>68</v>
      </c>
      <c r="AZ139" t="s" s="125">
        <v>68</v>
      </c>
      <c r="BA139" t="s" s="125">
        <v>68</v>
      </c>
      <c r="BB139" t="s" s="125">
        <v>68</v>
      </c>
    </row>
    <row r="140" spans="1:54">
      <c r="B140" s="145">
        <v>139</v>
      </c>
      <c r="C140" t="s" s="114">
        <v>636</v>
      </c>
      <c r="D140" t="s" s="38">
        <v>1669</v>
      </c>
      <c r="E140" t="s" s="154">
        <v>68</v>
      </c>
      <c r="F140" t="s" s="154">
        <v>68</v>
      </c>
      <c r="G140" t="s" s="154">
        <v>68</v>
      </c>
      <c r="H140" t="s" s="154">
        <v>68</v>
      </c>
      <c r="I140" t="s" s="154">
        <v>68</v>
      </c>
      <c r="J140" t="s" s="154">
        <v>68</v>
      </c>
      <c r="K140" t="s" s="154">
        <v>68</v>
      </c>
      <c r="L140" t="s" s="154">
        <v>68</v>
      </c>
      <c r="M140" t="s" s="154">
        <v>68</v>
      </c>
      <c r="N140" t="s" s="154">
        <v>68</v>
      </c>
      <c r="O140" t="s" s="154">
        <v>68</v>
      </c>
      <c r="P140" t="s" s="154">
        <v>68</v>
      </c>
      <c r="Q140" t="s" s="154">
        <v>68</v>
      </c>
      <c r="R140" t="s" s="154">
        <v>68</v>
      </c>
      <c r="S140" t="s" s="154">
        <v>68</v>
      </c>
      <c r="T140" t="s" s="154">
        <v>68</v>
      </c>
      <c r="U140" t="s" s="154">
        <v>68</v>
      </c>
      <c r="V140" t="s" s="154">
        <v>68</v>
      </c>
      <c r="W140" t="s" s="154">
        <v>68</v>
      </c>
      <c r="X140" t="s" s="154">
        <v>68</v>
      </c>
      <c r="Y140" t="s" s="154">
        <v>68</v>
      </c>
      <c r="Z140" t="s" s="154">
        <v>68</v>
      </c>
      <c r="AA140" t="s" s="154">
        <v>68</v>
      </c>
      <c r="AB140" t="s" s="154">
        <v>68</v>
      </c>
      <c r="AC140" t="s" s="154">
        <v>68</v>
      </c>
      <c r="AD140" t="s" s="154">
        <v>68</v>
      </c>
      <c r="AE140" t="s" s="154">
        <v>68</v>
      </c>
      <c r="AF140" t="s" s="154">
        <v>68</v>
      </c>
      <c r="AG140" t="s" s="154">
        <v>68</v>
      </c>
      <c r="AH140" t="s" s="154">
        <v>68</v>
      </c>
      <c r="AI140" t="s" s="154">
        <v>68</v>
      </c>
      <c r="AJ140" t="s" s="154">
        <v>68</v>
      </c>
      <c r="AK140" t="s" s="154">
        <v>68</v>
      </c>
      <c r="AL140" t="s" s="154">
        <v>68</v>
      </c>
      <c r="AM140" t="s" s="154">
        <v>68</v>
      </c>
      <c r="AN140" t="s" s="154">
        <v>68</v>
      </c>
      <c r="AO140" t="s" s="154">
        <v>68</v>
      </c>
      <c r="AP140" t="s" s="154">
        <v>68</v>
      </c>
      <c r="AQ140" t="s" s="154">
        <v>68</v>
      </c>
      <c r="AR140" t="s" s="154">
        <v>68</v>
      </c>
      <c r="AS140" t="s" s="154">
        <v>68</v>
      </c>
      <c r="AT140" t="s" s="154">
        <v>68</v>
      </c>
      <c r="AU140" t="s" s="154">
        <v>68</v>
      </c>
      <c r="AV140" t="s" s="154">
        <v>68</v>
      </c>
      <c r="AW140" t="s" s="154">
        <v>68</v>
      </c>
      <c r="AX140" t="s" s="154">
        <v>68</v>
      </c>
      <c r="AY140" t="s" s="154">
        <v>68</v>
      </c>
      <c r="AZ140" t="s" s="154">
        <v>68</v>
      </c>
      <c r="BA140" t="s" s="154">
        <v>68</v>
      </c>
      <c r="BB140" t="s" s="154">
        <v>68</v>
      </c>
    </row>
    <row r="141" spans="1:54">
      <c r="B141" s="145">
        <v>140</v>
      </c>
      <c r="C141" t="s" s="114">
        <v>545</v>
      </c>
      <c r="D141" t="s" s="38">
        <v>1840</v>
      </c>
      <c r="E141" t="s" s="154">
        <v>68</v>
      </c>
      <c r="F141" t="s" s="154">
        <v>68</v>
      </c>
      <c r="G141" t="s" s="154">
        <v>68</v>
      </c>
      <c r="H141" t="s" s="154">
        <v>68</v>
      </c>
      <c r="I141" t="s" s="154">
        <v>68</v>
      </c>
      <c r="J141" t="s" s="154">
        <v>68</v>
      </c>
      <c r="K141" t="s" s="154">
        <v>68</v>
      </c>
      <c r="L141" t="s" s="154">
        <v>68</v>
      </c>
      <c r="M141" t="s" s="154">
        <v>68</v>
      </c>
      <c r="N141" t="s" s="154">
        <v>68</v>
      </c>
      <c r="O141" t="s" s="154">
        <v>68</v>
      </c>
      <c r="P141" t="s" s="154">
        <v>68</v>
      </c>
      <c r="Q141" t="s" s="154">
        <v>68</v>
      </c>
      <c r="R141" t="s" s="154">
        <v>68</v>
      </c>
      <c r="S141" t="s" s="154">
        <v>68</v>
      </c>
      <c r="T141" t="s" s="154">
        <v>68</v>
      </c>
      <c r="U141" t="s" s="154">
        <v>68</v>
      </c>
      <c r="V141" t="s" s="154">
        <v>68</v>
      </c>
      <c r="W141" t="s" s="154">
        <v>68</v>
      </c>
      <c r="X141" t="s" s="154">
        <v>68</v>
      </c>
      <c r="Y141" t="s" s="154">
        <v>68</v>
      </c>
      <c r="Z141" t="s" s="154">
        <v>68</v>
      </c>
      <c r="AA141" t="s" s="154">
        <v>68</v>
      </c>
      <c r="AB141" t="s" s="154">
        <v>68</v>
      </c>
      <c r="AC141" t="s" s="154">
        <v>68</v>
      </c>
      <c r="AD141" t="s" s="154">
        <v>68</v>
      </c>
      <c r="AE141" t="s" s="154">
        <v>68</v>
      </c>
      <c r="AF141" t="s" s="154">
        <v>68</v>
      </c>
      <c r="AG141" t="s" s="154">
        <v>68</v>
      </c>
      <c r="AH141" t="s" s="154">
        <v>68</v>
      </c>
      <c r="AI141" t="s" s="154">
        <v>68</v>
      </c>
      <c r="AJ141" t="s" s="154">
        <v>68</v>
      </c>
      <c r="AK141" t="s" s="154">
        <v>68</v>
      </c>
      <c r="AL141" t="s" s="154">
        <v>68</v>
      </c>
      <c r="AM141" t="s" s="154">
        <v>68</v>
      </c>
      <c r="AN141" t="s" s="154">
        <v>68</v>
      </c>
      <c r="AO141" t="s" s="154">
        <v>68</v>
      </c>
      <c r="AP141" t="s" s="154">
        <v>68</v>
      </c>
      <c r="AQ141" t="s" s="154">
        <v>68</v>
      </c>
      <c r="AR141" t="s" s="154">
        <v>68</v>
      </c>
      <c r="AS141" t="s" s="154">
        <v>68</v>
      </c>
      <c r="AT141" t="s" s="154">
        <v>68</v>
      </c>
      <c r="AU141" t="s" s="154">
        <v>68</v>
      </c>
      <c r="AV141" t="s" s="154">
        <v>68</v>
      </c>
      <c r="AW141" t="s" s="154">
        <v>68</v>
      </c>
      <c r="AX141" t="s" s="154">
        <v>68</v>
      </c>
      <c r="AY141" t="s" s="154">
        <v>68</v>
      </c>
      <c r="AZ141" t="s" s="154">
        <v>68</v>
      </c>
      <c r="BA141" t="s" s="154">
        <v>68</v>
      </c>
      <c r="BB141" t="s" s="154">
        <v>68</v>
      </c>
    </row>
    <row r="142" spans="1:54" ht="24">
      <c r="B142" s="145">
        <v>141</v>
      </c>
      <c r="C142" t="s" s="114">
        <v>731</v>
      </c>
      <c r="D142" t="s" s="38">
        <v>1386</v>
      </c>
      <c r="E142" t="s" s="32">
        <v>68</v>
      </c>
      <c r="F142" t="s" s="32">
        <v>68</v>
      </c>
      <c r="G142" t="s" s="32">
        <v>68</v>
      </c>
      <c r="H142" t="s" s="32">
        <v>68</v>
      </c>
      <c r="I142" t="s" s="32">
        <v>68</v>
      </c>
      <c r="J142" t="s" s="32">
        <v>68</v>
      </c>
      <c r="K142" t="s" s="32">
        <v>68</v>
      </c>
      <c r="L142" t="s" s="32">
        <v>68</v>
      </c>
      <c r="M142" t="s" s="32">
        <v>68</v>
      </c>
      <c r="N142" t="s" s="32">
        <v>68</v>
      </c>
      <c r="O142" t="s" s="32">
        <v>68</v>
      </c>
      <c r="P142" t="s" s="32">
        <v>68</v>
      </c>
      <c r="Q142" t="s" s="32">
        <v>68</v>
      </c>
      <c r="R142" t="s" s="32">
        <v>68</v>
      </c>
      <c r="S142" t="s" s="32">
        <v>68</v>
      </c>
      <c r="T142" t="s" s="32">
        <v>68</v>
      </c>
      <c r="U142" t="s" s="32">
        <v>68</v>
      </c>
      <c r="V142" t="s" s="32">
        <v>68</v>
      </c>
      <c r="W142" t="s" s="32">
        <v>68</v>
      </c>
      <c r="X142" t="s" s="32">
        <v>68</v>
      </c>
      <c r="Y142" t="s" s="32">
        <v>68</v>
      </c>
      <c r="Z142" t="s" s="32">
        <v>68</v>
      </c>
      <c r="AA142" t="s" s="32">
        <v>68</v>
      </c>
      <c r="AB142" t="s" s="32">
        <v>68</v>
      </c>
      <c r="AC142" t="s" s="32">
        <v>68</v>
      </c>
      <c r="AD142" t="s" s="32">
        <v>68</v>
      </c>
      <c r="AE142" t="s" s="32">
        <v>68</v>
      </c>
      <c r="AF142" t="s" s="32">
        <v>68</v>
      </c>
      <c r="AG142" t="s" s="32">
        <v>68</v>
      </c>
      <c r="AH142" t="s" s="32">
        <v>68</v>
      </c>
      <c r="AI142" t="s" s="32">
        <v>68</v>
      </c>
      <c r="AJ142" t="s" s="32">
        <v>68</v>
      </c>
      <c r="AK142" t="s" s="32">
        <v>68</v>
      </c>
      <c r="AL142" t="s" s="32">
        <v>68</v>
      </c>
      <c r="AM142" t="s" s="32">
        <v>68</v>
      </c>
      <c r="AN142" t="s" s="32">
        <v>68</v>
      </c>
      <c r="AO142" t="s" s="32">
        <v>68</v>
      </c>
      <c r="AP142" t="s" s="32">
        <v>68</v>
      </c>
      <c r="AQ142" t="s" s="32">
        <v>68</v>
      </c>
      <c r="AR142" t="s" s="32">
        <v>68</v>
      </c>
      <c r="AS142" t="s" s="32">
        <v>68</v>
      </c>
      <c r="AT142" t="s" s="32">
        <v>68</v>
      </c>
      <c r="AU142" t="s" s="32">
        <v>68</v>
      </c>
      <c r="AV142" t="s" s="32">
        <v>68</v>
      </c>
      <c r="AW142" t="s" s="32">
        <v>68</v>
      </c>
      <c r="AX142" t="s" s="32">
        <v>68</v>
      </c>
      <c r="AY142" t="s" s="32">
        <v>68</v>
      </c>
      <c r="AZ142" t="s" s="32">
        <v>68</v>
      </c>
      <c r="BA142" t="s" s="32">
        <v>68</v>
      </c>
      <c r="BB142" t="s" s="32">
        <v>68</v>
      </c>
    </row>
    <row r="143" spans="1:54">
      <c r="B143" s="145">
        <v>142</v>
      </c>
      <c r="C143" t="s" s="114">
        <v>904</v>
      </c>
      <c r="D143" t="s" s="38">
        <v>1223</v>
      </c>
      <c r="E143" t="s" s="125">
        <v>68</v>
      </c>
      <c r="F143" t="s" s="125">
        <v>68</v>
      </c>
      <c r="G143" t="s" s="125">
        <v>68</v>
      </c>
      <c r="H143" t="s" s="125">
        <v>68</v>
      </c>
      <c r="I143" t="s" s="125">
        <v>68</v>
      </c>
      <c r="J143" t="s" s="125">
        <v>68</v>
      </c>
      <c r="K143" t="s" s="125">
        <v>68</v>
      </c>
      <c r="L143" t="s" s="125">
        <v>68</v>
      </c>
      <c r="M143" t="s" s="125">
        <v>68</v>
      </c>
      <c r="N143" t="s" s="125">
        <v>68</v>
      </c>
      <c r="O143" t="s" s="125">
        <v>68</v>
      </c>
      <c r="P143" t="s" s="125">
        <v>68</v>
      </c>
      <c r="Q143" t="s" s="125">
        <v>68</v>
      </c>
      <c r="R143" t="s" s="125">
        <v>68</v>
      </c>
      <c r="S143" t="s" s="125">
        <v>68</v>
      </c>
      <c r="T143" t="s" s="125">
        <v>68</v>
      </c>
      <c r="U143" t="s" s="125">
        <v>68</v>
      </c>
      <c r="V143" t="s" s="125">
        <v>68</v>
      </c>
      <c r="W143" t="s" s="125">
        <v>68</v>
      </c>
      <c r="X143" t="s" s="125">
        <v>68</v>
      </c>
      <c r="Y143" t="s" s="125">
        <v>68</v>
      </c>
      <c r="Z143" t="s" s="125">
        <v>68</v>
      </c>
      <c r="AA143" t="s" s="125">
        <v>68</v>
      </c>
      <c r="AB143" t="s" s="125">
        <v>68</v>
      </c>
      <c r="AC143" t="s" s="125">
        <v>68</v>
      </c>
      <c r="AD143" t="s" s="125">
        <v>68</v>
      </c>
      <c r="AE143" t="s" s="125">
        <v>68</v>
      </c>
      <c r="AF143" t="s" s="125">
        <v>68</v>
      </c>
      <c r="AG143" t="s" s="125">
        <v>68</v>
      </c>
      <c r="AH143" t="s" s="125">
        <v>68</v>
      </c>
      <c r="AI143" t="s" s="125">
        <v>68</v>
      </c>
      <c r="AJ143" t="s" s="125">
        <v>68</v>
      </c>
      <c r="AK143" t="s" s="125">
        <v>68</v>
      </c>
      <c r="AL143" t="s" s="125">
        <v>68</v>
      </c>
      <c r="AM143" t="s" s="125">
        <v>68</v>
      </c>
      <c r="AN143" t="s" s="125">
        <v>68</v>
      </c>
      <c r="AO143" t="s" s="125">
        <v>68</v>
      </c>
      <c r="AP143" t="s" s="125">
        <v>68</v>
      </c>
      <c r="AQ143" t="s" s="125">
        <v>68</v>
      </c>
      <c r="AR143" t="s" s="125">
        <v>68</v>
      </c>
      <c r="AS143" t="s" s="125">
        <v>68</v>
      </c>
      <c r="AT143" t="s" s="125">
        <v>68</v>
      </c>
      <c r="AU143" t="s" s="125">
        <v>68</v>
      </c>
      <c r="AV143" t="s" s="125">
        <v>68</v>
      </c>
      <c r="AW143" t="s" s="125">
        <v>68</v>
      </c>
      <c r="AX143" t="s" s="125">
        <v>68</v>
      </c>
      <c r="AY143" t="s" s="125">
        <v>68</v>
      </c>
      <c r="AZ143" t="s" s="125">
        <v>68</v>
      </c>
      <c r="BA143" t="s" s="125">
        <v>68</v>
      </c>
      <c r="BB143" t="s" s="125">
        <v>68</v>
      </c>
    </row>
    <row r="144" spans="1:54">
      <c r="B144" s="145">
        <v>143</v>
      </c>
      <c r="C144" t="s" s="114">
        <v>1358</v>
      </c>
      <c r="D144" t="s" s="38">
        <v>156</v>
      </c>
      <c r="E144" t="s" s="154">
        <v>68</v>
      </c>
      <c r="F144" t="s" s="154">
        <v>68</v>
      </c>
      <c r="G144" t="s" s="154">
        <v>68</v>
      </c>
      <c r="H144" t="s" s="154">
        <v>68</v>
      </c>
      <c r="I144" t="s" s="154">
        <v>68</v>
      </c>
      <c r="J144" t="s" s="154">
        <v>68</v>
      </c>
      <c r="K144" t="s" s="154">
        <v>68</v>
      </c>
      <c r="L144" t="s" s="154">
        <v>68</v>
      </c>
      <c r="M144" t="s" s="154">
        <v>68</v>
      </c>
      <c r="N144" t="s" s="154">
        <v>68</v>
      </c>
      <c r="O144" t="s" s="154">
        <v>68</v>
      </c>
      <c r="P144" t="s" s="154">
        <v>68</v>
      </c>
      <c r="Q144" t="s" s="154">
        <v>68</v>
      </c>
      <c r="R144" t="s" s="154">
        <v>68</v>
      </c>
      <c r="S144" t="s" s="154">
        <v>68</v>
      </c>
      <c r="T144" t="s" s="154">
        <v>68</v>
      </c>
      <c r="U144" t="s" s="154">
        <v>68</v>
      </c>
      <c r="V144" t="s" s="154">
        <v>68</v>
      </c>
      <c r="W144" t="s" s="154">
        <v>68</v>
      </c>
      <c r="X144" t="s" s="154">
        <v>68</v>
      </c>
      <c r="Y144" t="s" s="154">
        <v>68</v>
      </c>
      <c r="Z144" t="s" s="154">
        <v>68</v>
      </c>
      <c r="AA144" t="s" s="154">
        <v>68</v>
      </c>
      <c r="AB144" t="s" s="154">
        <v>68</v>
      </c>
      <c r="AC144" t="s" s="154">
        <v>68</v>
      </c>
      <c r="AD144" t="s" s="154">
        <v>68</v>
      </c>
      <c r="AE144" t="s" s="154">
        <v>68</v>
      </c>
      <c r="AF144" t="s" s="154">
        <v>68</v>
      </c>
      <c r="AG144" t="s" s="154">
        <v>68</v>
      </c>
      <c r="AH144" t="s" s="154">
        <v>68</v>
      </c>
      <c r="AI144" t="s" s="154">
        <v>68</v>
      </c>
      <c r="AJ144" t="s" s="154">
        <v>68</v>
      </c>
      <c r="AK144" t="s" s="154">
        <v>68</v>
      </c>
      <c r="AL144" t="s" s="154">
        <v>68</v>
      </c>
      <c r="AM144" t="s" s="154">
        <v>68</v>
      </c>
      <c r="AN144" t="s" s="154">
        <v>68</v>
      </c>
      <c r="AO144" t="s" s="154">
        <v>68</v>
      </c>
      <c r="AP144" t="s" s="154">
        <v>68</v>
      </c>
      <c r="AQ144" t="s" s="154">
        <v>68</v>
      </c>
      <c r="AR144" t="s" s="154">
        <v>68</v>
      </c>
      <c r="AS144" t="s" s="154">
        <v>68</v>
      </c>
      <c r="AT144" t="s" s="154">
        <v>68</v>
      </c>
      <c r="AU144" t="s" s="154">
        <v>68</v>
      </c>
      <c r="AV144" t="s" s="154">
        <v>68</v>
      </c>
      <c r="AW144" t="s" s="154">
        <v>68</v>
      </c>
      <c r="AX144" t="s" s="154">
        <v>68</v>
      </c>
      <c r="AY144" t="s" s="154">
        <v>68</v>
      </c>
      <c r="AZ144" t="s" s="154">
        <v>68</v>
      </c>
      <c r="BA144" t="s" s="154">
        <v>68</v>
      </c>
      <c r="BB144" t="s" s="154">
        <v>68</v>
      </c>
    </row>
    <row r="145" spans="1:54">
      <c r="B145" s="145">
        <v>144</v>
      </c>
      <c r="C145" t="s" s="114">
        <v>602</v>
      </c>
      <c r="D145" t="s" s="38">
        <v>434</v>
      </c>
      <c r="E145" t="s" s="154">
        <v>68</v>
      </c>
      <c r="F145" t="s" s="154">
        <v>68</v>
      </c>
      <c r="G145" t="s" s="154">
        <v>68</v>
      </c>
      <c r="H145" t="s" s="154">
        <v>68</v>
      </c>
      <c r="I145" t="s" s="154">
        <v>68</v>
      </c>
      <c r="J145" t="s" s="154">
        <v>68</v>
      </c>
      <c r="K145" t="s" s="154">
        <v>68</v>
      </c>
      <c r="L145" t="s" s="154">
        <v>68</v>
      </c>
      <c r="M145" t="s" s="154">
        <v>68</v>
      </c>
      <c r="N145" t="s" s="154">
        <v>68</v>
      </c>
      <c r="O145" t="s" s="154">
        <v>68</v>
      </c>
      <c r="P145" t="s" s="154">
        <v>68</v>
      </c>
      <c r="Q145" t="s" s="154">
        <v>68</v>
      </c>
      <c r="R145" t="s" s="154">
        <v>68</v>
      </c>
      <c r="S145" t="s" s="154">
        <v>68</v>
      </c>
      <c r="T145" t="s" s="154">
        <v>68</v>
      </c>
      <c r="U145" t="s" s="154">
        <v>68</v>
      </c>
      <c r="V145" t="s" s="154">
        <v>68</v>
      </c>
      <c r="W145" t="s" s="154">
        <v>68</v>
      </c>
      <c r="X145" t="s" s="154">
        <v>68</v>
      </c>
      <c r="Y145" t="s" s="154">
        <v>68</v>
      </c>
      <c r="Z145" t="s" s="154">
        <v>68</v>
      </c>
      <c r="AA145" t="s" s="154">
        <v>68</v>
      </c>
      <c r="AB145" t="s" s="154">
        <v>68</v>
      </c>
      <c r="AC145" t="s" s="154">
        <v>68</v>
      </c>
      <c r="AD145" t="s" s="154">
        <v>68</v>
      </c>
      <c r="AE145" t="s" s="154">
        <v>68</v>
      </c>
      <c r="AF145" t="s" s="154">
        <v>68</v>
      </c>
      <c r="AG145" t="s" s="154">
        <v>68</v>
      </c>
      <c r="AH145" t="s" s="154">
        <v>68</v>
      </c>
      <c r="AI145" t="s" s="154">
        <v>68</v>
      </c>
      <c r="AJ145" t="s" s="154">
        <v>68</v>
      </c>
      <c r="AK145" t="s" s="154">
        <v>68</v>
      </c>
      <c r="AL145" t="s" s="154">
        <v>68</v>
      </c>
      <c r="AM145" t="s" s="154">
        <v>68</v>
      </c>
      <c r="AN145" t="s" s="154">
        <v>68</v>
      </c>
      <c r="AO145" t="s" s="154">
        <v>68</v>
      </c>
      <c r="AP145" t="s" s="154">
        <v>68</v>
      </c>
      <c r="AQ145" t="s" s="154">
        <v>68</v>
      </c>
      <c r="AR145" t="s" s="154">
        <v>68</v>
      </c>
      <c r="AS145" t="s" s="154">
        <v>68</v>
      </c>
      <c r="AT145" t="s" s="154">
        <v>68</v>
      </c>
      <c r="AU145" t="s" s="154">
        <v>68</v>
      </c>
      <c r="AV145" t="s" s="154">
        <v>68</v>
      </c>
      <c r="AW145" t="s" s="154">
        <v>68</v>
      </c>
      <c r="AX145" t="s" s="154">
        <v>68</v>
      </c>
      <c r="AY145" t="s" s="154">
        <v>68</v>
      </c>
      <c r="AZ145" t="s" s="154">
        <v>68</v>
      </c>
      <c r="BA145" t="s" s="154">
        <v>68</v>
      </c>
      <c r="BB145" t="s" s="154">
        <v>68</v>
      </c>
    </row>
    <row r="146" spans="1:54" ht="24">
      <c r="B146" s="145">
        <v>145</v>
      </c>
      <c r="C146" t="s" s="114">
        <v>1473</v>
      </c>
      <c r="D146" t="s" s="38">
        <v>255</v>
      </c>
      <c r="E146" t="s" s="32">
        <v>68</v>
      </c>
      <c r="F146" t="s" s="32">
        <v>68</v>
      </c>
      <c r="G146" t="s" s="32">
        <v>68</v>
      </c>
      <c r="H146" t="s" s="32">
        <v>68</v>
      </c>
      <c r="I146" t="s" s="32">
        <v>68</v>
      </c>
      <c r="J146" t="s" s="32">
        <v>68</v>
      </c>
      <c r="K146" t="s" s="32">
        <v>68</v>
      </c>
      <c r="L146" t="s" s="32">
        <v>68</v>
      </c>
      <c r="M146" t="s" s="32">
        <v>68</v>
      </c>
      <c r="N146" t="s" s="32">
        <v>68</v>
      </c>
      <c r="O146" t="s" s="32">
        <v>68</v>
      </c>
      <c r="P146" t="s" s="32">
        <v>68</v>
      </c>
      <c r="Q146" t="s" s="32">
        <v>68</v>
      </c>
      <c r="R146" t="s" s="32">
        <v>68</v>
      </c>
      <c r="S146" t="s" s="32">
        <v>68</v>
      </c>
      <c r="T146" t="s" s="32">
        <v>68</v>
      </c>
      <c r="U146" t="s" s="32">
        <v>68</v>
      </c>
      <c r="V146" t="s" s="32">
        <v>68</v>
      </c>
      <c r="W146" t="s" s="32">
        <v>68</v>
      </c>
      <c r="X146" t="s" s="32">
        <v>68</v>
      </c>
      <c r="Y146" t="s" s="32">
        <v>68</v>
      </c>
      <c r="Z146" t="s" s="32">
        <v>68</v>
      </c>
      <c r="AA146" t="s" s="32">
        <v>68</v>
      </c>
      <c r="AB146" t="s" s="32">
        <v>68</v>
      </c>
      <c r="AC146" t="s" s="32">
        <v>68</v>
      </c>
      <c r="AD146" t="s" s="32">
        <v>68</v>
      </c>
      <c r="AE146" t="s" s="32">
        <v>68</v>
      </c>
      <c r="AF146" t="s" s="32">
        <v>68</v>
      </c>
      <c r="AG146" t="s" s="32">
        <v>68</v>
      </c>
      <c r="AH146" t="s" s="32">
        <v>68</v>
      </c>
      <c r="AI146" t="s" s="32">
        <v>68</v>
      </c>
      <c r="AJ146" t="s" s="32">
        <v>68</v>
      </c>
      <c r="AK146" t="s" s="32">
        <v>68</v>
      </c>
      <c r="AL146" t="s" s="32">
        <v>68</v>
      </c>
      <c r="AM146" t="s" s="32">
        <v>68</v>
      </c>
      <c r="AN146" t="s" s="32">
        <v>68</v>
      </c>
      <c r="AO146" t="s" s="32">
        <v>68</v>
      </c>
      <c r="AP146" t="s" s="32">
        <v>68</v>
      </c>
      <c r="AQ146" t="s" s="32">
        <v>68</v>
      </c>
      <c r="AR146" t="s" s="32">
        <v>68</v>
      </c>
      <c r="AS146" t="s" s="32">
        <v>68</v>
      </c>
      <c r="AT146" t="s" s="32">
        <v>68</v>
      </c>
      <c r="AU146" t="s" s="32">
        <v>68</v>
      </c>
      <c r="AV146" t="s" s="32">
        <v>68</v>
      </c>
      <c r="AW146" t="s" s="32">
        <v>68</v>
      </c>
      <c r="AX146" t="s" s="32">
        <v>68</v>
      </c>
      <c r="AY146" t="s" s="32">
        <v>68</v>
      </c>
      <c r="AZ146" t="s" s="32">
        <v>68</v>
      </c>
      <c r="BA146" t="s" s="32">
        <v>68</v>
      </c>
      <c r="BB146" t="s" s="32">
        <v>68</v>
      </c>
    </row>
    <row r="147" spans="1:54" ht="36">
      <c r="A147" t="s" s="157">
        <v>1833</v>
      </c>
      <c r="B147" s="145">
        <v>146</v>
      </c>
      <c r="C147" t="s" s="114">
        <v>1200</v>
      </c>
      <c r="D147" t="s" s="38">
        <v>608</v>
      </c>
      <c r="E147" t="s" s="32">
        <v>1865</v>
      </c>
      <c r="F147" t="s" s="32">
        <v>1865</v>
      </c>
      <c r="G147" t="s" s="32">
        <v>1865</v>
      </c>
      <c r="H147" t="s" s="32">
        <v>1865</v>
      </c>
      <c r="I147" t="s" s="32">
        <v>1865</v>
      </c>
      <c r="J147" t="s" s="32">
        <v>1865</v>
      </c>
      <c r="K147" t="s" s="32">
        <v>1865</v>
      </c>
      <c r="L147" t="s" s="32">
        <v>1865</v>
      </c>
      <c r="M147" t="s" s="32">
        <v>1865</v>
      </c>
      <c r="N147" t="s" s="32">
        <v>1865</v>
      </c>
      <c r="O147" t="s" s="32">
        <v>1865</v>
      </c>
      <c r="P147" t="s" s="32">
        <v>1865</v>
      </c>
      <c r="Q147" t="s" s="32">
        <v>1865</v>
      </c>
      <c r="R147" t="s" s="32">
        <v>1865</v>
      </c>
      <c r="S147" t="s" s="32">
        <v>1865</v>
      </c>
      <c r="T147" t="s" s="32">
        <v>1865</v>
      </c>
      <c r="U147" t="s" s="32">
        <v>1865</v>
      </c>
      <c r="V147" t="s" s="32">
        <v>1865</v>
      </c>
      <c r="W147" t="s" s="32">
        <v>1865</v>
      </c>
      <c r="X147" t="s" s="32">
        <v>1865</v>
      </c>
      <c r="Y147" t="s" s="32">
        <v>1865</v>
      </c>
      <c r="Z147" t="s" s="32">
        <v>1865</v>
      </c>
      <c r="AA147" t="s" s="32">
        <v>1865</v>
      </c>
      <c r="AB147" t="s" s="32">
        <v>1865</v>
      </c>
      <c r="AC147" t="s" s="32">
        <v>1865</v>
      </c>
      <c r="AD147" t="s" s="32">
        <v>1865</v>
      </c>
      <c r="AE147" t="s" s="32">
        <v>1865</v>
      </c>
      <c r="AF147" t="s" s="32">
        <v>1865</v>
      </c>
      <c r="AG147" t="s" s="32">
        <v>1865</v>
      </c>
      <c r="AH147" t="s" s="32">
        <v>1865</v>
      </c>
      <c r="AI147" t="s" s="32">
        <v>1865</v>
      </c>
      <c r="AJ147" t="s" s="32">
        <v>1865</v>
      </c>
      <c r="AK147" t="s" s="32">
        <v>1865</v>
      </c>
      <c r="AL147" t="s" s="32">
        <v>1865</v>
      </c>
      <c r="AM147" t="s" s="32">
        <v>1865</v>
      </c>
      <c r="AN147" t="s" s="32">
        <v>1865</v>
      </c>
      <c r="AO147" t="s" s="32">
        <v>1865</v>
      </c>
      <c r="AP147" t="s" s="32">
        <v>1865</v>
      </c>
      <c r="AQ147" t="s" s="32">
        <v>1865</v>
      </c>
      <c r="AR147" t="s" s="32">
        <v>1865</v>
      </c>
      <c r="AS147" t="s" s="32">
        <v>1865</v>
      </c>
      <c r="AT147" t="s" s="32">
        <v>1865</v>
      </c>
      <c r="AU147" t="s" s="32">
        <v>1865</v>
      </c>
      <c r="AV147" t="s" s="32">
        <v>1865</v>
      </c>
      <c r="AW147" t="s" s="32">
        <v>1865</v>
      </c>
      <c r="AX147" t="s" s="32">
        <v>1865</v>
      </c>
      <c r="AY147" t="s" s="32">
        <v>1865</v>
      </c>
      <c r="AZ147" t="s" s="32">
        <v>1865</v>
      </c>
      <c r="BA147" t="s" s="32">
        <v>1865</v>
      </c>
      <c r="BB147" t="s" s="32">
        <v>1865</v>
      </c>
    </row>
    <row r="148" spans="1:54" ht="24">
      <c r="B148" s="145">
        <v>147</v>
      </c>
      <c r="C148" t="s" s="114">
        <v>1738</v>
      </c>
      <c r="D148" t="s" s="38">
        <v>1429</v>
      </c>
      <c r="E148" t="s" s="154">
        <v>68</v>
      </c>
      <c r="F148" t="s" s="154">
        <v>68</v>
      </c>
      <c r="G148" t="s" s="154">
        <v>68</v>
      </c>
      <c r="H148" t="s" s="154">
        <v>68</v>
      </c>
      <c r="I148" t="s" s="154">
        <v>68</v>
      </c>
      <c r="J148" t="s" s="154">
        <v>68</v>
      </c>
      <c r="K148" t="s" s="154">
        <v>68</v>
      </c>
      <c r="L148" t="s" s="154">
        <v>68</v>
      </c>
      <c r="M148" t="s" s="154">
        <v>68</v>
      </c>
      <c r="N148" t="s" s="154">
        <v>68</v>
      </c>
      <c r="O148" t="s" s="154">
        <v>68</v>
      </c>
      <c r="P148" t="s" s="154">
        <v>68</v>
      </c>
      <c r="Q148" t="s" s="154">
        <v>68</v>
      </c>
      <c r="R148" t="s" s="154">
        <v>68</v>
      </c>
      <c r="S148" t="s" s="154">
        <v>68</v>
      </c>
      <c r="T148" t="s" s="154">
        <v>68</v>
      </c>
      <c r="U148" t="s" s="154">
        <v>68</v>
      </c>
      <c r="V148" t="s" s="154">
        <v>68</v>
      </c>
      <c r="W148" t="s" s="154">
        <v>68</v>
      </c>
      <c r="X148" t="s" s="154">
        <v>68</v>
      </c>
      <c r="Y148" t="s" s="154">
        <v>68</v>
      </c>
      <c r="Z148" t="s" s="154">
        <v>68</v>
      </c>
      <c r="AA148" t="s" s="154">
        <v>68</v>
      </c>
      <c r="AB148" t="s" s="154">
        <v>68</v>
      </c>
      <c r="AC148" t="s" s="154">
        <v>68</v>
      </c>
      <c r="AD148" t="s" s="154">
        <v>68</v>
      </c>
      <c r="AE148" t="s" s="154">
        <v>68</v>
      </c>
      <c r="AF148" t="s" s="154">
        <v>68</v>
      </c>
      <c r="AG148" t="s" s="154">
        <v>68</v>
      </c>
      <c r="AH148" t="s" s="154">
        <v>68</v>
      </c>
      <c r="AI148" t="s" s="154">
        <v>68</v>
      </c>
      <c r="AJ148" t="s" s="154">
        <v>68</v>
      </c>
      <c r="AK148" t="s" s="154">
        <v>68</v>
      </c>
      <c r="AL148" t="s" s="154">
        <v>68</v>
      </c>
      <c r="AM148" t="s" s="154">
        <v>68</v>
      </c>
      <c r="AN148" t="s" s="154">
        <v>68</v>
      </c>
      <c r="AO148" t="s" s="154">
        <v>68</v>
      </c>
      <c r="AP148" t="s" s="154">
        <v>68</v>
      </c>
      <c r="AQ148" t="s" s="154">
        <v>68</v>
      </c>
      <c r="AR148" t="s" s="154">
        <v>68</v>
      </c>
      <c r="AS148" t="s" s="154">
        <v>68</v>
      </c>
      <c r="AT148" t="s" s="154">
        <v>68</v>
      </c>
      <c r="AU148" t="s" s="154">
        <v>68</v>
      </c>
      <c r="AV148" t="s" s="154">
        <v>68</v>
      </c>
      <c r="AW148" t="s" s="154">
        <v>68</v>
      </c>
      <c r="AX148" t="s" s="154">
        <v>68</v>
      </c>
      <c r="AY148" t="s" s="154">
        <v>68</v>
      </c>
      <c r="AZ148" t="s" s="154">
        <v>68</v>
      </c>
      <c r="BA148" t="s" s="154">
        <v>68</v>
      </c>
      <c r="BB148" t="s" s="154">
        <v>68</v>
      </c>
    </row>
    <row r="149" spans="1:54">
      <c r="B149" s="145">
        <v>148</v>
      </c>
      <c r="C149" t="s" s="127">
        <v>1804</v>
      </c>
      <c r="D149" s="154">
        <f t="shared" ref="D149" si="0">IF(D147="PARTS ONLY",0,D129)</f>
      </c>
      <c r="E149" s="154">
        <f>IF(E147="PARTS ONLY",0,E129)</f>
      </c>
      <c r="F149" t="s" s="154">
        <v>68</v>
      </c>
      <c r="G149" t="s" s="154">
        <v>68</v>
      </c>
      <c r="H149" t="s" s="154">
        <v>68</v>
      </c>
      <c r="I149" t="s" s="154">
        <v>68</v>
      </c>
      <c r="J149" t="s" s="154">
        <v>68</v>
      </c>
      <c r="K149" t="s" s="154">
        <v>68</v>
      </c>
      <c r="L149" t="s" s="154">
        <v>68</v>
      </c>
      <c r="M149" t="s" s="154">
        <v>68</v>
      </c>
      <c r="N149" t="s" s="154">
        <v>68</v>
      </c>
      <c r="O149" t="s" s="154">
        <v>68</v>
      </c>
      <c r="P149" t="s" s="154">
        <v>68</v>
      </c>
      <c r="Q149" t="s" s="154">
        <v>68</v>
      </c>
      <c r="R149" t="s" s="154">
        <v>68</v>
      </c>
      <c r="S149" t="s" s="154">
        <v>68</v>
      </c>
      <c r="T149" t="s" s="154">
        <v>68</v>
      </c>
      <c r="U149" t="s" s="154">
        <v>68</v>
      </c>
      <c r="V149" t="s" s="154">
        <v>68</v>
      </c>
      <c r="W149" t="s" s="154">
        <v>68</v>
      </c>
      <c r="X149" t="s" s="154">
        <v>68</v>
      </c>
      <c r="Y149" t="s" s="154">
        <v>68</v>
      </c>
      <c r="Z149" t="s" s="154">
        <v>68</v>
      </c>
      <c r="AA149" t="s" s="154">
        <v>68</v>
      </c>
      <c r="AB149" t="s" s="154">
        <v>68</v>
      </c>
      <c r="AC149" t="s" s="154">
        <v>68</v>
      </c>
      <c r="AD149" t="s" s="154">
        <v>68</v>
      </c>
      <c r="AE149" t="s" s="154">
        <v>68</v>
      </c>
      <c r="AF149" t="s" s="154">
        <v>68</v>
      </c>
      <c r="AG149" t="s" s="154">
        <v>68</v>
      </c>
      <c r="AH149" t="s" s="154">
        <v>68</v>
      </c>
      <c r="AI149" t="s" s="154">
        <v>68</v>
      </c>
      <c r="AJ149" t="s" s="154">
        <v>68</v>
      </c>
      <c r="AK149" t="s" s="154">
        <v>68</v>
      </c>
      <c r="AL149" t="s" s="154">
        <v>68</v>
      </c>
      <c r="AM149" t="s" s="154">
        <v>68</v>
      </c>
      <c r="AN149" t="s" s="154">
        <v>68</v>
      </c>
      <c r="AO149" t="s" s="154">
        <v>68</v>
      </c>
      <c r="AP149" t="s" s="154">
        <v>68</v>
      </c>
      <c r="AQ149" t="s" s="154">
        <v>68</v>
      </c>
      <c r="AR149" t="s" s="154">
        <v>68</v>
      </c>
      <c r="AS149" t="s" s="154">
        <v>68</v>
      </c>
      <c r="AT149" t="s" s="154">
        <v>68</v>
      </c>
      <c r="AU149" t="s" s="154">
        <v>68</v>
      </c>
      <c r="AV149" t="s" s="154">
        <v>68</v>
      </c>
      <c r="AW149" t="s" s="154">
        <v>68</v>
      </c>
      <c r="AX149" t="s" s="154">
        <v>68</v>
      </c>
      <c r="AY149" t="s" s="154">
        <v>68</v>
      </c>
      <c r="AZ149" t="s" s="154">
        <v>68</v>
      </c>
      <c r="BA149" t="s" s="154">
        <v>68</v>
      </c>
      <c r="BB149" t="s" s="154">
        <v>68</v>
      </c>
    </row>
    <row r="150" spans="1:54" ht="24">
      <c r="B150" s="145">
        <v>149</v>
      </c>
      <c r="C150" t="s" s="127">
        <v>220</v>
      </c>
      <c r="D150" t="s" s="38">
        <v>1429</v>
      </c>
      <c r="E150" t="s" s="154">
        <v>68</v>
      </c>
      <c r="F150" t="s" s="154">
        <v>68</v>
      </c>
      <c r="G150" t="s" s="154">
        <v>68</v>
      </c>
      <c r="H150" t="s" s="154">
        <v>68</v>
      </c>
      <c r="I150" t="s" s="154">
        <v>68</v>
      </c>
      <c r="J150" t="s" s="154">
        <v>68</v>
      </c>
      <c r="K150" t="s" s="154">
        <v>68</v>
      </c>
      <c r="L150" t="s" s="154">
        <v>68</v>
      </c>
      <c r="M150" t="s" s="154">
        <v>68</v>
      </c>
      <c r="N150" t="s" s="154">
        <v>68</v>
      </c>
      <c r="O150" t="s" s="154">
        <v>68</v>
      </c>
      <c r="P150" t="s" s="154">
        <v>68</v>
      </c>
      <c r="Q150" t="s" s="154">
        <v>68</v>
      </c>
      <c r="R150" t="s" s="154">
        <v>68</v>
      </c>
      <c r="S150" t="s" s="154">
        <v>68</v>
      </c>
      <c r="T150" t="s" s="154">
        <v>68</v>
      </c>
      <c r="U150" t="s" s="154">
        <v>68</v>
      </c>
      <c r="V150" t="s" s="154">
        <v>68</v>
      </c>
      <c r="W150" t="s" s="154">
        <v>68</v>
      </c>
      <c r="X150" t="s" s="154">
        <v>68</v>
      </c>
      <c r="Y150" t="s" s="154">
        <v>68</v>
      </c>
      <c r="Z150" t="s" s="154">
        <v>68</v>
      </c>
      <c r="AA150" t="s" s="154">
        <v>68</v>
      </c>
      <c r="AB150" t="s" s="154">
        <v>68</v>
      </c>
      <c r="AC150" t="s" s="154">
        <v>68</v>
      </c>
      <c r="AD150" t="s" s="154">
        <v>68</v>
      </c>
      <c r="AE150" t="s" s="154">
        <v>68</v>
      </c>
      <c r="AF150" t="s" s="154">
        <v>68</v>
      </c>
      <c r="AG150" t="s" s="154">
        <v>68</v>
      </c>
      <c r="AH150" t="s" s="154">
        <v>68</v>
      </c>
      <c r="AI150" t="s" s="154">
        <v>68</v>
      </c>
      <c r="AJ150" t="s" s="154">
        <v>68</v>
      </c>
      <c r="AK150" t="s" s="154">
        <v>68</v>
      </c>
      <c r="AL150" t="s" s="154">
        <v>68</v>
      </c>
      <c r="AM150" t="s" s="154">
        <v>68</v>
      </c>
      <c r="AN150" t="s" s="154">
        <v>68</v>
      </c>
      <c r="AO150" t="s" s="154">
        <v>68</v>
      </c>
      <c r="AP150" t="s" s="154">
        <v>68</v>
      </c>
      <c r="AQ150" t="s" s="154">
        <v>68</v>
      </c>
      <c r="AR150" t="s" s="154">
        <v>68</v>
      </c>
      <c r="AS150" t="s" s="154">
        <v>68</v>
      </c>
      <c r="AT150" t="s" s="154">
        <v>68</v>
      </c>
      <c r="AU150" t="s" s="154">
        <v>68</v>
      </c>
      <c r="AV150" t="s" s="154">
        <v>68</v>
      </c>
      <c r="AW150" t="s" s="154">
        <v>68</v>
      </c>
      <c r="AX150" t="s" s="154">
        <v>68</v>
      </c>
      <c r="AY150" t="s" s="154">
        <v>68</v>
      </c>
      <c r="AZ150" t="s" s="154">
        <v>68</v>
      </c>
      <c r="BA150" t="s" s="154">
        <v>68</v>
      </c>
      <c r="BB150" t="s" s="154">
        <v>68</v>
      </c>
    </row>
    <row r="151" spans="1:54">
      <c r="B151" s="145">
        <v>150</v>
      </c>
      <c r="C151" t="s" s="127">
        <v>1331</v>
      </c>
      <c r="D151" s="154">
        <f t="shared" ref="D151" si="1">IF(D147="LABOUR ONLY",0,D129)</f>
      </c>
      <c r="E151" s="154">
        <f>IF(E147="LABOUR ONLY",0,E129)</f>
      </c>
      <c r="F151" t="s" s="154">
        <v>68</v>
      </c>
      <c r="G151" t="s" s="154">
        <v>68</v>
      </c>
      <c r="H151" t="s" s="154">
        <v>68</v>
      </c>
      <c r="I151" t="s" s="154">
        <v>68</v>
      </c>
      <c r="J151" t="s" s="154">
        <v>68</v>
      </c>
      <c r="K151" t="s" s="154">
        <v>68</v>
      </c>
      <c r="L151" t="s" s="154">
        <v>68</v>
      </c>
      <c r="M151" t="s" s="154">
        <v>68</v>
      </c>
      <c r="N151" t="s" s="154">
        <v>68</v>
      </c>
      <c r="O151" t="s" s="154">
        <v>68</v>
      </c>
      <c r="P151" t="s" s="154">
        <v>68</v>
      </c>
      <c r="Q151" t="s" s="154">
        <v>68</v>
      </c>
      <c r="R151" t="s" s="154">
        <v>68</v>
      </c>
      <c r="S151" t="s" s="154">
        <v>68</v>
      </c>
      <c r="T151" t="s" s="154">
        <v>68</v>
      </c>
      <c r="U151" t="s" s="154">
        <v>68</v>
      </c>
      <c r="V151" t="s" s="154">
        <v>68</v>
      </c>
      <c r="W151" t="s" s="154">
        <v>68</v>
      </c>
      <c r="X151" t="s" s="154">
        <v>68</v>
      </c>
      <c r="Y151" t="s" s="154">
        <v>68</v>
      </c>
      <c r="Z151" t="s" s="154">
        <v>68</v>
      </c>
      <c r="AA151" t="s" s="154">
        <v>68</v>
      </c>
      <c r="AB151" t="s" s="154">
        <v>68</v>
      </c>
      <c r="AC151" t="s" s="154">
        <v>68</v>
      </c>
      <c r="AD151" t="s" s="154">
        <v>68</v>
      </c>
      <c r="AE151" t="s" s="154">
        <v>68</v>
      </c>
      <c r="AF151" t="s" s="154">
        <v>68</v>
      </c>
      <c r="AG151" t="s" s="154">
        <v>68</v>
      </c>
      <c r="AH151" t="s" s="154">
        <v>68</v>
      </c>
      <c r="AI151" t="s" s="154">
        <v>68</v>
      </c>
      <c r="AJ151" t="s" s="154">
        <v>68</v>
      </c>
      <c r="AK151" t="s" s="154">
        <v>68</v>
      </c>
      <c r="AL151" t="s" s="154">
        <v>68</v>
      </c>
      <c r="AM151" t="s" s="154">
        <v>68</v>
      </c>
      <c r="AN151" t="s" s="154">
        <v>68</v>
      </c>
      <c r="AO151" t="s" s="154">
        <v>68</v>
      </c>
      <c r="AP151" t="s" s="154">
        <v>68</v>
      </c>
      <c r="AQ151" t="s" s="154">
        <v>68</v>
      </c>
      <c r="AR151" t="s" s="154">
        <v>68</v>
      </c>
      <c r="AS151" t="s" s="154">
        <v>68</v>
      </c>
      <c r="AT151" t="s" s="154">
        <v>68</v>
      </c>
      <c r="AU151" t="s" s="154">
        <v>68</v>
      </c>
      <c r="AV151" t="s" s="154">
        <v>68</v>
      </c>
      <c r="AW151" t="s" s="154">
        <v>68</v>
      </c>
      <c r="AX151" t="s" s="154">
        <v>68</v>
      </c>
      <c r="AY151" t="s" s="154">
        <v>68</v>
      </c>
      <c r="AZ151" t="s" s="154">
        <v>68</v>
      </c>
      <c r="BA151" t="s" s="154">
        <v>68</v>
      </c>
      <c r="BB151" t="s" s="154">
        <v>68</v>
      </c>
    </row>
    <row r="152" spans="1:54" ht="24">
      <c r="A152" t="s" s="157">
        <v>1833</v>
      </c>
      <c r="B152" s="145">
        <v>151</v>
      </c>
      <c r="C152" t="s" s="114">
        <v>1100</v>
      </c>
      <c r="D152" t="s" s="38">
        <v>650</v>
      </c>
      <c r="E152" s="32"/>
      <c r="F152" s="32"/>
      <c r="G152" s="32"/>
      <c r="H152" s="32"/>
      <c r="I152" s="32"/>
      <c r="J152" s="32"/>
      <c r="K152" s="32"/>
      <c r="L152" s="32"/>
      <c r="M152" s="32"/>
      <c r="N152" s="32"/>
      <c r="O152" s="32"/>
      <c r="P152" s="32"/>
      <c r="Q152" s="32"/>
      <c r="R152" s="32"/>
      <c r="S152" s="32"/>
      <c r="T152" s="32"/>
      <c r="U152" s="32"/>
      <c r="V152" s="32"/>
      <c r="W152" s="32"/>
      <c r="X152" s="32"/>
      <c r="Y152" s="32"/>
      <c r="Z152" s="32"/>
      <c r="AA152" s="32"/>
      <c r="AB152" s="32"/>
      <c r="AC152" s="32"/>
      <c r="AD152" s="32"/>
      <c r="AE152" s="32"/>
      <c r="AF152" s="32"/>
      <c r="AG152" s="32"/>
      <c r="AH152" s="32"/>
      <c r="AI152" s="32"/>
      <c r="AJ152" s="32"/>
      <c r="AK152" s="32"/>
      <c r="AL152" s="32"/>
      <c r="AM152" s="32"/>
      <c r="AN152" s="32"/>
      <c r="AO152" s="32"/>
      <c r="AP152" s="32"/>
      <c r="AQ152" s="32"/>
      <c r="AR152" s="32"/>
      <c r="AS152" s="32"/>
      <c r="AT152" s="32"/>
      <c r="AU152" s="32"/>
      <c r="AV152" s="32"/>
      <c r="AW152" s="32"/>
      <c r="AX152" s="32"/>
      <c r="AY152" s="32"/>
      <c r="AZ152" s="32"/>
      <c r="BA152" s="32"/>
      <c r="BB152" s="32"/>
    </row>
    <row r="153" spans="1:54" ht="24">
      <c r="A153" t="s" s="157">
        <v>1833</v>
      </c>
      <c r="B153" s="145">
        <v>152</v>
      </c>
      <c r="C153" t="s" s="114">
        <v>1789</v>
      </c>
      <c r="D153" t="s" s="38">
        <v>839</v>
      </c>
      <c r="E153" s="32"/>
      <c r="F153" s="32"/>
      <c r="G153" s="32"/>
      <c r="H153" s="32"/>
      <c r="I153" s="32"/>
      <c r="J153" s="32"/>
      <c r="K153" s="32"/>
      <c r="L153" s="32"/>
      <c r="M153" s="32"/>
      <c r="N153" s="32"/>
      <c r="O153" s="32"/>
      <c r="P153" s="32"/>
      <c r="Q153" s="32"/>
      <c r="R153" s="32"/>
      <c r="S153" s="32"/>
      <c r="T153" s="32"/>
      <c r="U153" s="32"/>
      <c r="V153" s="32"/>
      <c r="W153" s="32"/>
      <c r="X153" s="32"/>
      <c r="Y153" s="32"/>
      <c r="Z153" s="32"/>
      <c r="AA153" s="32"/>
      <c r="AB153" s="32"/>
      <c r="AC153" s="32"/>
      <c r="AD153" s="32"/>
      <c r="AE153" s="32"/>
      <c r="AF153" s="32"/>
      <c r="AG153" s="32"/>
      <c r="AH153" s="32"/>
      <c r="AI153" s="32"/>
      <c r="AJ153" s="32"/>
      <c r="AK153" s="32"/>
      <c r="AL153" s="32"/>
      <c r="AM153" s="32"/>
      <c r="AN153" s="32"/>
      <c r="AO153" s="32"/>
      <c r="AP153" s="32"/>
      <c r="AQ153" s="32"/>
      <c r="AR153" s="32"/>
      <c r="AS153" s="32"/>
      <c r="AT153" s="32"/>
      <c r="AU153" s="32"/>
      <c r="AV153" s="32"/>
      <c r="AW153" s="32"/>
      <c r="AX153" s="32"/>
      <c r="AY153" s="32"/>
      <c r="AZ153" s="32"/>
      <c r="BA153" s="32"/>
      <c r="BB153" s="32"/>
    </row>
    <row r="154" spans="1:54">
      <c r="B154" s="145">
        <v>153</v>
      </c>
      <c r="C154" t="s" s="114">
        <v>1082</v>
      </c>
      <c r="D154" t="s" s="38">
        <v>318</v>
      </c>
      <c r="E154" t="s" s="32">
        <v>68</v>
      </c>
      <c r="F154" t="s" s="32">
        <v>68</v>
      </c>
      <c r="G154" t="s" s="32">
        <v>68</v>
      </c>
      <c r="H154" t="s" s="32">
        <v>68</v>
      </c>
      <c r="I154" t="s" s="32">
        <v>68</v>
      </c>
      <c r="J154" t="s" s="32">
        <v>68</v>
      </c>
      <c r="K154" t="s" s="32">
        <v>68</v>
      </c>
      <c r="L154" t="s" s="32">
        <v>68</v>
      </c>
      <c r="M154" t="s" s="32">
        <v>68</v>
      </c>
      <c r="N154" t="s" s="32">
        <v>68</v>
      </c>
      <c r="O154" t="s" s="32">
        <v>68</v>
      </c>
      <c r="P154" t="s" s="32">
        <v>68</v>
      </c>
      <c r="Q154" t="s" s="32">
        <v>68</v>
      </c>
      <c r="R154" t="s" s="32">
        <v>68</v>
      </c>
      <c r="S154" t="s" s="32">
        <v>68</v>
      </c>
      <c r="T154" t="s" s="32">
        <v>68</v>
      </c>
      <c r="U154" t="s" s="32">
        <v>68</v>
      </c>
      <c r="V154" t="s" s="32">
        <v>68</v>
      </c>
      <c r="W154" t="s" s="32">
        <v>68</v>
      </c>
      <c r="X154" t="s" s="32">
        <v>68</v>
      </c>
      <c r="Y154" t="s" s="32">
        <v>68</v>
      </c>
      <c r="Z154" t="s" s="32">
        <v>68</v>
      </c>
      <c r="AA154" t="s" s="32">
        <v>68</v>
      </c>
      <c r="AB154" t="s" s="32">
        <v>68</v>
      </c>
      <c r="AC154" t="s" s="32">
        <v>68</v>
      </c>
      <c r="AD154" t="s" s="32">
        <v>68</v>
      </c>
      <c r="AE154" t="s" s="32">
        <v>68</v>
      </c>
      <c r="AF154" t="s" s="32">
        <v>68</v>
      </c>
      <c r="AG154" t="s" s="32">
        <v>68</v>
      </c>
      <c r="AH154" t="s" s="32">
        <v>68</v>
      </c>
      <c r="AI154" t="s" s="32">
        <v>68</v>
      </c>
      <c r="AJ154" t="s" s="32">
        <v>68</v>
      </c>
      <c r="AK154" t="s" s="32">
        <v>68</v>
      </c>
      <c r="AL154" t="s" s="32">
        <v>68</v>
      </c>
      <c r="AM154" t="s" s="32">
        <v>68</v>
      </c>
      <c r="AN154" t="s" s="32">
        <v>68</v>
      </c>
      <c r="AO154" t="s" s="32">
        <v>68</v>
      </c>
      <c r="AP154" t="s" s="32">
        <v>68</v>
      </c>
      <c r="AQ154" t="s" s="32">
        <v>68</v>
      </c>
      <c r="AR154" t="s" s="32">
        <v>68</v>
      </c>
      <c r="AS154" t="s" s="32">
        <v>68</v>
      </c>
      <c r="AT154" t="s" s="32">
        <v>68</v>
      </c>
      <c r="AU154" t="s" s="32">
        <v>68</v>
      </c>
      <c r="AV154" t="s" s="32">
        <v>68</v>
      </c>
      <c r="AW154" t="s" s="32">
        <v>68</v>
      </c>
      <c r="AX154" t="s" s="32">
        <v>68</v>
      </c>
      <c r="AY154" t="s" s="32">
        <v>68</v>
      </c>
      <c r="AZ154" t="s" s="32">
        <v>68</v>
      </c>
      <c r="BA154" t="s" s="32">
        <v>68</v>
      </c>
      <c r="BB154" t="s" s="32">
        <v>68</v>
      </c>
    </row>
    <row r="155" spans="1:54">
      <c r="B155" s="145">
        <v>154</v>
      </c>
      <c r="C155" t="s" s="114">
        <v>776</v>
      </c>
      <c r="D155" t="s" s="38">
        <v>206</v>
      </c>
      <c r="E155" t="s" s="32">
        <v>68</v>
      </c>
      <c r="F155" t="s" s="32">
        <v>68</v>
      </c>
      <c r="G155" t="s" s="32">
        <v>68</v>
      </c>
      <c r="H155" t="s" s="32">
        <v>68</v>
      </c>
      <c r="I155" t="s" s="32">
        <v>68</v>
      </c>
      <c r="J155" t="s" s="32">
        <v>68</v>
      </c>
      <c r="K155" t="s" s="32">
        <v>68</v>
      </c>
      <c r="L155" t="s" s="32">
        <v>68</v>
      </c>
      <c r="M155" t="s" s="32">
        <v>68</v>
      </c>
      <c r="N155" t="s" s="32">
        <v>68</v>
      </c>
      <c r="O155" t="s" s="32">
        <v>68</v>
      </c>
      <c r="P155" t="s" s="32">
        <v>68</v>
      </c>
      <c r="Q155" t="s" s="32">
        <v>68</v>
      </c>
      <c r="R155" t="s" s="32">
        <v>68</v>
      </c>
      <c r="S155" t="s" s="32">
        <v>68</v>
      </c>
      <c r="T155" t="s" s="32">
        <v>68</v>
      </c>
      <c r="U155" t="s" s="32">
        <v>68</v>
      </c>
      <c r="V155" t="s" s="32">
        <v>68</v>
      </c>
      <c r="W155" t="s" s="32">
        <v>68</v>
      </c>
      <c r="X155" t="s" s="32">
        <v>68</v>
      </c>
      <c r="Y155" t="s" s="32">
        <v>68</v>
      </c>
      <c r="Z155" t="s" s="32">
        <v>68</v>
      </c>
      <c r="AA155" t="s" s="32">
        <v>68</v>
      </c>
      <c r="AB155" t="s" s="32">
        <v>68</v>
      </c>
      <c r="AC155" t="s" s="32">
        <v>68</v>
      </c>
      <c r="AD155" t="s" s="32">
        <v>68</v>
      </c>
      <c r="AE155" t="s" s="32">
        <v>68</v>
      </c>
      <c r="AF155" t="s" s="32">
        <v>68</v>
      </c>
      <c r="AG155" t="s" s="32">
        <v>68</v>
      </c>
      <c r="AH155" t="s" s="32">
        <v>68</v>
      </c>
      <c r="AI155" t="s" s="32">
        <v>68</v>
      </c>
      <c r="AJ155" t="s" s="32">
        <v>68</v>
      </c>
      <c r="AK155" t="s" s="32">
        <v>68</v>
      </c>
      <c r="AL155" t="s" s="32">
        <v>68</v>
      </c>
      <c r="AM155" t="s" s="32">
        <v>68</v>
      </c>
      <c r="AN155" t="s" s="32">
        <v>68</v>
      </c>
      <c r="AO155" t="s" s="32">
        <v>68</v>
      </c>
      <c r="AP155" t="s" s="32">
        <v>68</v>
      </c>
      <c r="AQ155" t="s" s="32">
        <v>68</v>
      </c>
      <c r="AR155" t="s" s="32">
        <v>68</v>
      </c>
      <c r="AS155" t="s" s="32">
        <v>68</v>
      </c>
      <c r="AT155" t="s" s="32">
        <v>68</v>
      </c>
      <c r="AU155" t="s" s="32">
        <v>68</v>
      </c>
      <c r="AV155" t="s" s="32">
        <v>68</v>
      </c>
      <c r="AW155" t="s" s="32">
        <v>68</v>
      </c>
      <c r="AX155" t="s" s="32">
        <v>68</v>
      </c>
      <c r="AY155" t="s" s="32">
        <v>68</v>
      </c>
      <c r="AZ155" t="s" s="32">
        <v>68</v>
      </c>
      <c r="BA155" t="s" s="32">
        <v>68</v>
      </c>
      <c r="BB155" t="s" s="32">
        <v>68</v>
      </c>
    </row>
    <row r="156" spans="1:54">
      <c r="B156" s="145">
        <v>155</v>
      </c>
      <c r="C156" t="s" s="114">
        <v>1248</v>
      </c>
      <c r="D156" t="s" s="38">
        <v>1477</v>
      </c>
      <c r="E156" t="s" s="32">
        <v>68</v>
      </c>
      <c r="F156" t="s" s="32">
        <v>68</v>
      </c>
      <c r="G156" t="s" s="32">
        <v>68</v>
      </c>
      <c r="H156" t="s" s="32">
        <v>68</v>
      </c>
      <c r="I156" t="s" s="32">
        <v>68</v>
      </c>
      <c r="J156" t="s" s="32">
        <v>68</v>
      </c>
      <c r="K156" t="s" s="32">
        <v>68</v>
      </c>
      <c r="L156" t="s" s="32">
        <v>68</v>
      </c>
      <c r="M156" t="s" s="32">
        <v>68</v>
      </c>
      <c r="N156" t="s" s="32">
        <v>68</v>
      </c>
      <c r="O156" t="s" s="32">
        <v>68</v>
      </c>
      <c r="P156" t="s" s="32">
        <v>68</v>
      </c>
      <c r="Q156" t="s" s="32">
        <v>68</v>
      </c>
      <c r="R156" t="s" s="32">
        <v>68</v>
      </c>
      <c r="S156" t="s" s="32">
        <v>68</v>
      </c>
      <c r="T156" t="s" s="32">
        <v>68</v>
      </c>
      <c r="U156" t="s" s="32">
        <v>68</v>
      </c>
      <c r="V156" t="s" s="32">
        <v>68</v>
      </c>
      <c r="W156" t="s" s="32">
        <v>68</v>
      </c>
      <c r="X156" t="s" s="32">
        <v>68</v>
      </c>
      <c r="Y156" t="s" s="32">
        <v>68</v>
      </c>
      <c r="Z156" t="s" s="32">
        <v>68</v>
      </c>
      <c r="AA156" t="s" s="32">
        <v>68</v>
      </c>
      <c r="AB156" t="s" s="32">
        <v>68</v>
      </c>
      <c r="AC156" t="s" s="32">
        <v>68</v>
      </c>
      <c r="AD156" t="s" s="32">
        <v>68</v>
      </c>
      <c r="AE156" t="s" s="32">
        <v>68</v>
      </c>
      <c r="AF156" t="s" s="32">
        <v>68</v>
      </c>
      <c r="AG156" t="s" s="32">
        <v>68</v>
      </c>
      <c r="AH156" t="s" s="32">
        <v>68</v>
      </c>
      <c r="AI156" t="s" s="32">
        <v>68</v>
      </c>
      <c r="AJ156" t="s" s="32">
        <v>68</v>
      </c>
      <c r="AK156" t="s" s="32">
        <v>68</v>
      </c>
      <c r="AL156" t="s" s="32">
        <v>68</v>
      </c>
      <c r="AM156" t="s" s="32">
        <v>68</v>
      </c>
      <c r="AN156" t="s" s="32">
        <v>68</v>
      </c>
      <c r="AO156" t="s" s="32">
        <v>68</v>
      </c>
      <c r="AP156" t="s" s="32">
        <v>68</v>
      </c>
      <c r="AQ156" t="s" s="32">
        <v>68</v>
      </c>
      <c r="AR156" t="s" s="32">
        <v>68</v>
      </c>
      <c r="AS156" t="s" s="32">
        <v>68</v>
      </c>
      <c r="AT156" t="s" s="32">
        <v>68</v>
      </c>
      <c r="AU156" t="s" s="32">
        <v>68</v>
      </c>
      <c r="AV156" t="s" s="32">
        <v>68</v>
      </c>
      <c r="AW156" t="s" s="32">
        <v>68</v>
      </c>
      <c r="AX156" t="s" s="32">
        <v>68</v>
      </c>
      <c r="AY156" t="s" s="32">
        <v>68</v>
      </c>
      <c r="AZ156" t="s" s="32">
        <v>68</v>
      </c>
      <c r="BA156" t="s" s="32">
        <v>68</v>
      </c>
      <c r="BB156" t="s" s="32">
        <v>68</v>
      </c>
    </row>
    <row r="157" spans="1:54" ht="24">
      <c r="B157" s="145">
        <v>156</v>
      </c>
      <c r="C157" t="s" s="127">
        <v>769</v>
      </c>
      <c r="D157" t="s" s="38">
        <v>310</v>
      </c>
      <c r="E157" t="s" s="32">
        <v>68</v>
      </c>
      <c r="F157" t="s" s="32">
        <v>68</v>
      </c>
      <c r="G157" t="s" s="32">
        <v>68</v>
      </c>
      <c r="H157" t="s" s="32">
        <v>68</v>
      </c>
      <c r="I157" t="s" s="32">
        <v>68</v>
      </c>
      <c r="J157" t="s" s="32">
        <v>68</v>
      </c>
      <c r="K157" t="s" s="32">
        <v>68</v>
      </c>
      <c r="L157" t="s" s="32">
        <v>68</v>
      </c>
      <c r="M157" t="s" s="32">
        <v>68</v>
      </c>
      <c r="N157" t="s" s="32">
        <v>68</v>
      </c>
      <c r="O157" t="s" s="32">
        <v>68</v>
      </c>
      <c r="P157" t="s" s="32">
        <v>68</v>
      </c>
      <c r="Q157" t="s" s="32">
        <v>68</v>
      </c>
      <c r="R157" t="s" s="32">
        <v>68</v>
      </c>
      <c r="S157" t="s" s="32">
        <v>68</v>
      </c>
      <c r="T157" t="s" s="32">
        <v>68</v>
      </c>
      <c r="U157" t="s" s="32">
        <v>68</v>
      </c>
      <c r="V157" t="s" s="32">
        <v>68</v>
      </c>
      <c r="W157" t="s" s="32">
        <v>68</v>
      </c>
      <c r="X157" t="s" s="32">
        <v>68</v>
      </c>
      <c r="Y157" t="s" s="32">
        <v>68</v>
      </c>
      <c r="Z157" t="s" s="32">
        <v>68</v>
      </c>
      <c r="AA157" t="s" s="32">
        <v>68</v>
      </c>
      <c r="AB157" t="s" s="32">
        <v>68</v>
      </c>
      <c r="AC157" t="s" s="32">
        <v>68</v>
      </c>
      <c r="AD157" t="s" s="32">
        <v>68</v>
      </c>
      <c r="AE157" t="s" s="32">
        <v>68</v>
      </c>
      <c r="AF157" t="s" s="32">
        <v>68</v>
      </c>
      <c r="AG157" t="s" s="32">
        <v>68</v>
      </c>
      <c r="AH157" t="s" s="32">
        <v>68</v>
      </c>
      <c r="AI157" t="s" s="32">
        <v>68</v>
      </c>
      <c r="AJ157" t="s" s="32">
        <v>68</v>
      </c>
      <c r="AK157" t="s" s="32">
        <v>68</v>
      </c>
      <c r="AL157" t="s" s="32">
        <v>68</v>
      </c>
      <c r="AM157" t="s" s="32">
        <v>68</v>
      </c>
      <c r="AN157" t="s" s="32">
        <v>68</v>
      </c>
      <c r="AO157" t="s" s="32">
        <v>68</v>
      </c>
      <c r="AP157" t="s" s="32">
        <v>68</v>
      </c>
      <c r="AQ157" t="s" s="32">
        <v>68</v>
      </c>
      <c r="AR157" t="s" s="32">
        <v>68</v>
      </c>
      <c r="AS157" t="s" s="32">
        <v>68</v>
      </c>
      <c r="AT157" t="s" s="32">
        <v>68</v>
      </c>
      <c r="AU157" t="s" s="32">
        <v>68</v>
      </c>
      <c r="AV157" t="s" s="32">
        <v>68</v>
      </c>
      <c r="AW157" t="s" s="32">
        <v>68</v>
      </c>
      <c r="AX157" t="s" s="32">
        <v>68</v>
      </c>
      <c r="AY157" t="s" s="32">
        <v>68</v>
      </c>
      <c r="AZ157" t="s" s="32">
        <v>68</v>
      </c>
      <c r="BA157" t="s" s="32">
        <v>68</v>
      </c>
      <c r="BB157" t="s" s="32">
        <v>68</v>
      </c>
    </row>
    <row r="158" spans="1:54" ht="36">
      <c r="A158" t="s" s="157">
        <v>1833</v>
      </c>
      <c r="B158" s="145">
        <v>157</v>
      </c>
      <c r="C158" t="s" s="114">
        <v>1764</v>
      </c>
      <c r="D158" t="s" s="38">
        <v>1936</v>
      </c>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29"/>
      <c r="AY158" s="29"/>
      <c r="AZ158" s="29"/>
      <c r="BA158" s="29"/>
      <c r="BB158" s="29"/>
    </row>
    <row r="159" spans="1:54" ht="24">
      <c r="B159" s="145">
        <v>158</v>
      </c>
      <c r="C159" t="s" s="127">
        <v>1433</v>
      </c>
      <c r="D159" t="s" s="38">
        <v>365</v>
      </c>
      <c r="E159" t="s" s="32">
        <v>68</v>
      </c>
      <c r="F159" t="s" s="32">
        <v>68</v>
      </c>
      <c r="G159" t="s" s="32">
        <v>68</v>
      </c>
      <c r="H159" t="s" s="32">
        <v>68</v>
      </c>
      <c r="I159" t="s" s="32">
        <v>68</v>
      </c>
      <c r="J159" t="s" s="32">
        <v>68</v>
      </c>
      <c r="K159" t="s" s="32">
        <v>68</v>
      </c>
      <c r="L159" t="s" s="32">
        <v>68</v>
      </c>
      <c r="M159" t="s" s="32">
        <v>68</v>
      </c>
      <c r="N159" t="s" s="32">
        <v>68</v>
      </c>
      <c r="O159" t="s" s="32">
        <v>68</v>
      </c>
      <c r="P159" t="s" s="32">
        <v>68</v>
      </c>
      <c r="Q159" t="s" s="32">
        <v>68</v>
      </c>
      <c r="R159" t="s" s="32">
        <v>68</v>
      </c>
      <c r="S159" t="s" s="32">
        <v>68</v>
      </c>
      <c r="T159" t="s" s="32">
        <v>68</v>
      </c>
      <c r="U159" t="s" s="32">
        <v>68</v>
      </c>
      <c r="V159" t="s" s="32">
        <v>68</v>
      </c>
      <c r="W159" t="s" s="32">
        <v>68</v>
      </c>
      <c r="X159" t="s" s="32">
        <v>68</v>
      </c>
      <c r="Y159" t="s" s="32">
        <v>68</v>
      </c>
      <c r="Z159" t="s" s="32">
        <v>68</v>
      </c>
      <c r="AA159" t="s" s="32">
        <v>68</v>
      </c>
      <c r="AB159" t="s" s="32">
        <v>68</v>
      </c>
      <c r="AC159" t="s" s="32">
        <v>68</v>
      </c>
      <c r="AD159" t="s" s="32">
        <v>68</v>
      </c>
      <c r="AE159" t="s" s="32">
        <v>68</v>
      </c>
      <c r="AF159" t="s" s="32">
        <v>68</v>
      </c>
      <c r="AG159" t="s" s="32">
        <v>68</v>
      </c>
      <c r="AH159" t="s" s="32">
        <v>68</v>
      </c>
      <c r="AI159" t="s" s="32">
        <v>68</v>
      </c>
      <c r="AJ159" t="s" s="32">
        <v>68</v>
      </c>
      <c r="AK159" t="s" s="32">
        <v>68</v>
      </c>
      <c r="AL159" t="s" s="32">
        <v>68</v>
      </c>
      <c r="AM159" t="s" s="32">
        <v>68</v>
      </c>
      <c r="AN159" t="s" s="32">
        <v>68</v>
      </c>
      <c r="AO159" t="s" s="32">
        <v>68</v>
      </c>
      <c r="AP159" t="s" s="32">
        <v>68</v>
      </c>
      <c r="AQ159" t="s" s="32">
        <v>68</v>
      </c>
      <c r="AR159" t="s" s="32">
        <v>68</v>
      </c>
      <c r="AS159" t="s" s="32">
        <v>68</v>
      </c>
      <c r="AT159" t="s" s="32">
        <v>68</v>
      </c>
      <c r="AU159" t="s" s="32">
        <v>68</v>
      </c>
      <c r="AV159" t="s" s="32">
        <v>68</v>
      </c>
      <c r="AW159" t="s" s="32">
        <v>68</v>
      </c>
      <c r="AX159" t="s" s="32">
        <v>68</v>
      </c>
      <c r="AY159" t="s" s="32">
        <v>68</v>
      </c>
      <c r="AZ159" t="s" s="32">
        <v>68</v>
      </c>
      <c r="BA159" t="s" s="32">
        <v>68</v>
      </c>
      <c r="BB159" t="s" s="32">
        <v>68</v>
      </c>
    </row>
    <row r="160" spans="1:54" ht="24">
      <c r="B160" s="145">
        <v>159</v>
      </c>
      <c r="C160" t="s" s="127">
        <v>1077</v>
      </c>
      <c r="D160" t="s" s="38">
        <v>1470</v>
      </c>
      <c r="E160" t="s" s="32">
        <v>68</v>
      </c>
      <c r="F160" t="s" s="32">
        <v>68</v>
      </c>
      <c r="G160" t="s" s="32">
        <v>68</v>
      </c>
      <c r="H160" t="s" s="32">
        <v>68</v>
      </c>
      <c r="I160" t="s" s="32">
        <v>68</v>
      </c>
      <c r="J160" t="s" s="32">
        <v>68</v>
      </c>
      <c r="K160" t="s" s="32">
        <v>68</v>
      </c>
      <c r="L160" t="s" s="32">
        <v>68</v>
      </c>
      <c r="M160" t="s" s="32">
        <v>68</v>
      </c>
      <c r="N160" t="s" s="32">
        <v>68</v>
      </c>
      <c r="O160" t="s" s="32">
        <v>68</v>
      </c>
      <c r="P160" t="s" s="32">
        <v>68</v>
      </c>
      <c r="Q160" t="s" s="32">
        <v>68</v>
      </c>
      <c r="R160" t="s" s="32">
        <v>68</v>
      </c>
      <c r="S160" t="s" s="32">
        <v>68</v>
      </c>
      <c r="T160" t="s" s="32">
        <v>68</v>
      </c>
      <c r="U160" t="s" s="32">
        <v>68</v>
      </c>
      <c r="V160" t="s" s="32">
        <v>68</v>
      </c>
      <c r="W160" t="s" s="32">
        <v>68</v>
      </c>
      <c r="X160" t="s" s="32">
        <v>68</v>
      </c>
      <c r="Y160" t="s" s="32">
        <v>68</v>
      </c>
      <c r="Z160" t="s" s="32">
        <v>68</v>
      </c>
      <c r="AA160" t="s" s="32">
        <v>68</v>
      </c>
      <c r="AB160" t="s" s="32">
        <v>68</v>
      </c>
      <c r="AC160" t="s" s="32">
        <v>68</v>
      </c>
      <c r="AD160" t="s" s="32">
        <v>68</v>
      </c>
      <c r="AE160" t="s" s="32">
        <v>68</v>
      </c>
      <c r="AF160" t="s" s="32">
        <v>68</v>
      </c>
      <c r="AG160" t="s" s="32">
        <v>68</v>
      </c>
      <c r="AH160" t="s" s="32">
        <v>68</v>
      </c>
      <c r="AI160" t="s" s="32">
        <v>68</v>
      </c>
      <c r="AJ160" t="s" s="32">
        <v>68</v>
      </c>
      <c r="AK160" t="s" s="32">
        <v>68</v>
      </c>
      <c r="AL160" t="s" s="32">
        <v>68</v>
      </c>
      <c r="AM160" t="s" s="32">
        <v>68</v>
      </c>
      <c r="AN160" t="s" s="32">
        <v>68</v>
      </c>
      <c r="AO160" t="s" s="32">
        <v>68</v>
      </c>
      <c r="AP160" t="s" s="32">
        <v>68</v>
      </c>
      <c r="AQ160" t="s" s="32">
        <v>68</v>
      </c>
      <c r="AR160" t="s" s="32">
        <v>68</v>
      </c>
      <c r="AS160" t="s" s="32">
        <v>68</v>
      </c>
      <c r="AT160" t="s" s="32">
        <v>68</v>
      </c>
      <c r="AU160" t="s" s="32">
        <v>68</v>
      </c>
      <c r="AV160" t="s" s="32">
        <v>68</v>
      </c>
      <c r="AW160" t="s" s="32">
        <v>68</v>
      </c>
      <c r="AX160" t="s" s="32">
        <v>68</v>
      </c>
      <c r="AY160" t="s" s="32">
        <v>68</v>
      </c>
      <c r="AZ160" t="s" s="32">
        <v>68</v>
      </c>
      <c r="BA160" t="s" s="32">
        <v>68</v>
      </c>
      <c r="BB160" t="s" s="32">
        <v>68</v>
      </c>
    </row>
    <row r="161" spans="1:54" ht="84">
      <c r="B161" s="145">
        <v>160</v>
      </c>
      <c r="C161" t="s" s="127">
        <v>142</v>
      </c>
      <c r="D161" t="s" s="38">
        <v>1948</v>
      </c>
      <c r="E161" t="s" s="32">
        <v>68</v>
      </c>
      <c r="F161" t="s" s="32">
        <v>68</v>
      </c>
      <c r="G161" t="s" s="32">
        <v>68</v>
      </c>
      <c r="H161" t="s" s="32">
        <v>68</v>
      </c>
      <c r="I161" t="s" s="32">
        <v>68</v>
      </c>
      <c r="J161" t="s" s="32">
        <v>68</v>
      </c>
      <c r="K161" t="s" s="32">
        <v>68</v>
      </c>
      <c r="L161" t="s" s="32">
        <v>68</v>
      </c>
      <c r="M161" t="s" s="32">
        <v>68</v>
      </c>
      <c r="N161" t="s" s="32">
        <v>68</v>
      </c>
      <c r="O161" t="s" s="32">
        <v>68</v>
      </c>
      <c r="P161" t="s" s="32">
        <v>68</v>
      </c>
      <c r="Q161" t="s" s="32">
        <v>68</v>
      </c>
      <c r="R161" t="s" s="32">
        <v>68</v>
      </c>
      <c r="S161" t="s" s="32">
        <v>68</v>
      </c>
      <c r="T161" t="s" s="32">
        <v>68</v>
      </c>
      <c r="U161" t="s" s="32">
        <v>68</v>
      </c>
      <c r="V161" t="s" s="32">
        <v>68</v>
      </c>
      <c r="W161" t="s" s="32">
        <v>68</v>
      </c>
      <c r="X161" t="s" s="32">
        <v>68</v>
      </c>
      <c r="Y161" t="s" s="32">
        <v>68</v>
      </c>
      <c r="Z161" t="s" s="32">
        <v>68</v>
      </c>
      <c r="AA161" t="s" s="32">
        <v>68</v>
      </c>
      <c r="AB161" t="s" s="32">
        <v>68</v>
      </c>
      <c r="AC161" t="s" s="32">
        <v>68</v>
      </c>
      <c r="AD161" t="s" s="32">
        <v>68</v>
      </c>
      <c r="AE161" t="s" s="32">
        <v>68</v>
      </c>
      <c r="AF161" t="s" s="32">
        <v>68</v>
      </c>
      <c r="AG161" t="s" s="32">
        <v>68</v>
      </c>
      <c r="AH161" t="s" s="32">
        <v>68</v>
      </c>
      <c r="AI161" t="s" s="32">
        <v>68</v>
      </c>
      <c r="AJ161" t="s" s="32">
        <v>68</v>
      </c>
      <c r="AK161" t="s" s="32">
        <v>68</v>
      </c>
      <c r="AL161" t="s" s="32">
        <v>68</v>
      </c>
      <c r="AM161" t="s" s="32">
        <v>68</v>
      </c>
      <c r="AN161" t="s" s="32">
        <v>68</v>
      </c>
      <c r="AO161" t="s" s="32">
        <v>68</v>
      </c>
      <c r="AP161" t="s" s="32">
        <v>68</v>
      </c>
      <c r="AQ161" t="s" s="32">
        <v>68</v>
      </c>
      <c r="AR161" t="s" s="32">
        <v>68</v>
      </c>
      <c r="AS161" t="s" s="32">
        <v>68</v>
      </c>
      <c r="AT161" t="s" s="32">
        <v>68</v>
      </c>
      <c r="AU161" t="s" s="32">
        <v>68</v>
      </c>
      <c r="AV161" t="s" s="32">
        <v>68</v>
      </c>
      <c r="AW161" t="s" s="32">
        <v>68</v>
      </c>
      <c r="AX161" t="s" s="32">
        <v>68</v>
      </c>
      <c r="AY161" t="s" s="32">
        <v>68</v>
      </c>
      <c r="AZ161" t="s" s="32">
        <v>68</v>
      </c>
      <c r="BA161" t="s" s="32">
        <v>68</v>
      </c>
      <c r="BB161" t="s" s="32">
        <v>68</v>
      </c>
    </row>
    <row r="162" spans="1:54" ht="108">
      <c r="B162" s="145">
        <v>161</v>
      </c>
      <c r="C162" t="s" s="127">
        <v>1334</v>
      </c>
      <c r="D162" t="s" s="38">
        <v>1949</v>
      </c>
      <c r="E162" t="s" s="8">
        <v>68</v>
      </c>
      <c r="F162" t="s" s="8">
        <v>68</v>
      </c>
      <c r="G162" t="s" s="8">
        <v>68</v>
      </c>
      <c r="H162" t="s" s="8">
        <v>68</v>
      </c>
      <c r="I162" t="s" s="8">
        <v>68</v>
      </c>
      <c r="J162" t="s" s="8">
        <v>68</v>
      </c>
      <c r="K162" t="s" s="8">
        <v>68</v>
      </c>
      <c r="L162" t="s" s="8">
        <v>68</v>
      </c>
      <c r="M162" t="s" s="8">
        <v>68</v>
      </c>
      <c r="N162" t="s" s="8">
        <v>68</v>
      </c>
      <c r="O162" t="s" s="8">
        <v>68</v>
      </c>
      <c r="P162" t="s" s="8">
        <v>68</v>
      </c>
      <c r="Q162" t="s" s="8">
        <v>68</v>
      </c>
      <c r="R162" t="s" s="8">
        <v>68</v>
      </c>
      <c r="S162" t="s" s="8">
        <v>68</v>
      </c>
      <c r="T162" t="s" s="8">
        <v>68</v>
      </c>
      <c r="U162" t="s" s="8">
        <v>68</v>
      </c>
      <c r="V162" t="s" s="8">
        <v>68</v>
      </c>
      <c r="W162" t="s" s="8">
        <v>68</v>
      </c>
      <c r="X162" t="s" s="8">
        <v>68</v>
      </c>
      <c r="Y162" t="s" s="8">
        <v>68</v>
      </c>
      <c r="Z162" t="s" s="8">
        <v>68</v>
      </c>
      <c r="AA162" t="s" s="8">
        <v>68</v>
      </c>
      <c r="AB162" t="s" s="8">
        <v>68</v>
      </c>
      <c r="AC162" t="s" s="8">
        <v>68</v>
      </c>
      <c r="AD162" t="s" s="8">
        <v>68</v>
      </c>
      <c r="AE162" t="s" s="8">
        <v>68</v>
      </c>
      <c r="AF162" t="s" s="8">
        <v>68</v>
      </c>
      <c r="AG162" t="s" s="8">
        <v>68</v>
      </c>
      <c r="AH162" t="s" s="8">
        <v>68</v>
      </c>
      <c r="AI162" t="s" s="8">
        <v>68</v>
      </c>
      <c r="AJ162" t="s" s="8">
        <v>68</v>
      </c>
      <c r="AK162" t="s" s="8">
        <v>68</v>
      </c>
      <c r="AL162" t="s" s="8">
        <v>68</v>
      </c>
      <c r="AM162" t="s" s="8">
        <v>68</v>
      </c>
      <c r="AN162" t="s" s="8">
        <v>68</v>
      </c>
      <c r="AO162" t="s" s="8">
        <v>68</v>
      </c>
      <c r="AP162" t="s" s="8">
        <v>68</v>
      </c>
      <c r="AQ162" t="s" s="8">
        <v>68</v>
      </c>
      <c r="AR162" t="s" s="8">
        <v>68</v>
      </c>
      <c r="AS162" t="s" s="8">
        <v>68</v>
      </c>
      <c r="AT162" t="s" s="8">
        <v>68</v>
      </c>
      <c r="AU162" t="s" s="8">
        <v>68</v>
      </c>
      <c r="AV162" t="s" s="8">
        <v>68</v>
      </c>
      <c r="AW162" t="s" s="8">
        <v>68</v>
      </c>
      <c r="AX162" t="s" s="8">
        <v>68</v>
      </c>
      <c r="AY162" t="s" s="8">
        <v>68</v>
      </c>
      <c r="AZ162" t="s" s="8">
        <v>68</v>
      </c>
      <c r="BA162" t="s" s="8">
        <v>68</v>
      </c>
      <c r="BB162" t="s" s="8">
        <v>68</v>
      </c>
    </row>
    <row r="163" spans="1:54" ht="24">
      <c r="A163" t="s" s="157">
        <v>1548</v>
      </c>
      <c r="B163" s="145">
        <v>162</v>
      </c>
      <c r="C163" t="s" s="127">
        <v>90</v>
      </c>
      <c r="D163" t="s" s="38">
        <v>1859</v>
      </c>
      <c r="E163" t="s" s="32">
        <v>68</v>
      </c>
      <c r="F163" t="s" s="32">
        <v>68</v>
      </c>
      <c r="G163" t="s" s="32">
        <v>68</v>
      </c>
      <c r="H163" t="s" s="32">
        <v>68</v>
      </c>
      <c r="I163" t="s" s="32">
        <v>68</v>
      </c>
      <c r="J163" t="s" s="32">
        <v>68</v>
      </c>
      <c r="K163" t="s" s="32">
        <v>68</v>
      </c>
      <c r="L163" t="s" s="32">
        <v>68</v>
      </c>
      <c r="M163" t="s" s="32">
        <v>68</v>
      </c>
      <c r="N163" t="s" s="32">
        <v>68</v>
      </c>
      <c r="O163" t="s" s="32">
        <v>68</v>
      </c>
      <c r="P163" t="s" s="32">
        <v>68</v>
      </c>
      <c r="Q163" t="s" s="32">
        <v>68</v>
      </c>
      <c r="R163" t="s" s="32">
        <v>68</v>
      </c>
      <c r="S163" t="s" s="32">
        <v>68</v>
      </c>
      <c r="T163" t="s" s="32">
        <v>68</v>
      </c>
      <c r="U163" t="s" s="32">
        <v>68</v>
      </c>
      <c r="V163" t="s" s="32">
        <v>68</v>
      </c>
      <c r="W163" t="s" s="32">
        <v>68</v>
      </c>
      <c r="X163" t="s" s="32">
        <v>68</v>
      </c>
      <c r="Y163" t="s" s="32">
        <v>68</v>
      </c>
      <c r="Z163" t="s" s="32">
        <v>68</v>
      </c>
      <c r="AA163" t="s" s="32">
        <v>68</v>
      </c>
      <c r="AB163" t="s" s="32">
        <v>68</v>
      </c>
      <c r="AC163" t="s" s="32">
        <v>68</v>
      </c>
      <c r="AD163" t="s" s="32">
        <v>68</v>
      </c>
      <c r="AE163" t="s" s="32">
        <v>68</v>
      </c>
      <c r="AF163" t="s" s="32">
        <v>68</v>
      </c>
      <c r="AG163" t="s" s="32">
        <v>68</v>
      </c>
      <c r="AH163" t="s" s="32">
        <v>68</v>
      </c>
      <c r="AI163" t="s" s="32">
        <v>68</v>
      </c>
      <c r="AJ163" t="s" s="32">
        <v>68</v>
      </c>
      <c r="AK163" t="s" s="32">
        <v>68</v>
      </c>
      <c r="AL163" t="s" s="32">
        <v>68</v>
      </c>
      <c r="AM163" t="s" s="32">
        <v>68</v>
      </c>
      <c r="AN163" t="s" s="32">
        <v>68</v>
      </c>
      <c r="AO163" t="s" s="32">
        <v>68</v>
      </c>
      <c r="AP163" t="s" s="32">
        <v>68</v>
      </c>
      <c r="AQ163" t="s" s="32">
        <v>68</v>
      </c>
      <c r="AR163" t="s" s="32">
        <v>68</v>
      </c>
      <c r="AS163" t="s" s="32">
        <v>68</v>
      </c>
      <c r="AT163" t="s" s="32">
        <v>68</v>
      </c>
      <c r="AU163" t="s" s="32">
        <v>68</v>
      </c>
      <c r="AV163" t="s" s="32">
        <v>68</v>
      </c>
      <c r="AW163" t="s" s="32">
        <v>68</v>
      </c>
      <c r="AX163" t="s" s="32">
        <v>68</v>
      </c>
      <c r="AY163" t="s" s="32">
        <v>68</v>
      </c>
      <c r="AZ163" t="s" s="32">
        <v>68</v>
      </c>
      <c r="BA163" t="s" s="32">
        <v>68</v>
      </c>
      <c r="BB163" t="s" s="32">
        <v>68</v>
      </c>
    </row>
    <row r="164" spans="1:54" ht="36">
      <c r="A164" t="s" s="157">
        <v>1548</v>
      </c>
      <c r="B164" s="145">
        <v>163</v>
      </c>
      <c r="C164" t="s" s="114">
        <v>1534</v>
      </c>
      <c r="D164" t="s" s="38">
        <v>354</v>
      </c>
      <c r="E164" t="s" s="32">
        <v>68</v>
      </c>
      <c r="F164" t="s" s="32">
        <v>68</v>
      </c>
      <c r="G164" t="s" s="32">
        <v>68</v>
      </c>
      <c r="H164" t="s" s="32">
        <v>68</v>
      </c>
      <c r="I164" t="s" s="32">
        <v>68</v>
      </c>
      <c r="J164" t="s" s="32">
        <v>68</v>
      </c>
      <c r="K164" t="s" s="32">
        <v>68</v>
      </c>
      <c r="L164" t="s" s="32">
        <v>68</v>
      </c>
      <c r="M164" t="s" s="32">
        <v>68</v>
      </c>
      <c r="N164" t="s" s="32">
        <v>68</v>
      </c>
      <c r="O164" t="s" s="32">
        <v>68</v>
      </c>
      <c r="P164" t="s" s="32">
        <v>68</v>
      </c>
      <c r="Q164" t="s" s="32">
        <v>68</v>
      </c>
      <c r="R164" t="s" s="32">
        <v>68</v>
      </c>
      <c r="S164" t="s" s="32">
        <v>68</v>
      </c>
      <c r="T164" t="s" s="32">
        <v>68</v>
      </c>
      <c r="U164" t="s" s="32">
        <v>68</v>
      </c>
      <c r="V164" t="s" s="32">
        <v>68</v>
      </c>
      <c r="W164" t="s" s="32">
        <v>68</v>
      </c>
      <c r="X164" t="s" s="32">
        <v>68</v>
      </c>
      <c r="Y164" t="s" s="32">
        <v>68</v>
      </c>
      <c r="Z164" t="s" s="32">
        <v>68</v>
      </c>
      <c r="AA164" t="s" s="32">
        <v>68</v>
      </c>
      <c r="AB164" t="s" s="32">
        <v>68</v>
      </c>
      <c r="AC164" t="s" s="32">
        <v>68</v>
      </c>
      <c r="AD164" t="s" s="32">
        <v>68</v>
      </c>
      <c r="AE164" t="s" s="32">
        <v>68</v>
      </c>
      <c r="AF164" t="s" s="32">
        <v>68</v>
      </c>
      <c r="AG164" t="s" s="32">
        <v>68</v>
      </c>
      <c r="AH164" t="s" s="32">
        <v>68</v>
      </c>
      <c r="AI164" t="s" s="32">
        <v>68</v>
      </c>
      <c r="AJ164" t="s" s="32">
        <v>68</v>
      </c>
      <c r="AK164" t="s" s="32">
        <v>68</v>
      </c>
      <c r="AL164" t="s" s="32">
        <v>68</v>
      </c>
      <c r="AM164" t="s" s="32">
        <v>68</v>
      </c>
      <c r="AN164" t="s" s="32">
        <v>68</v>
      </c>
      <c r="AO164" t="s" s="32">
        <v>68</v>
      </c>
      <c r="AP164" t="s" s="32">
        <v>68</v>
      </c>
      <c r="AQ164" t="s" s="32">
        <v>68</v>
      </c>
      <c r="AR164" t="s" s="32">
        <v>68</v>
      </c>
      <c r="AS164" t="s" s="32">
        <v>68</v>
      </c>
      <c r="AT164" t="s" s="32">
        <v>68</v>
      </c>
      <c r="AU164" t="s" s="32">
        <v>68</v>
      </c>
      <c r="AV164" t="s" s="32">
        <v>68</v>
      </c>
      <c r="AW164" t="s" s="32">
        <v>68</v>
      </c>
      <c r="AX164" t="s" s="32">
        <v>68</v>
      </c>
      <c r="AY164" t="s" s="32">
        <v>68</v>
      </c>
      <c r="AZ164" t="s" s="32">
        <v>68</v>
      </c>
      <c r="BA164" t="s" s="32">
        <v>68</v>
      </c>
      <c r="BB164" t="s" s="32">
        <v>68</v>
      </c>
    </row>
    <row r="165" spans="1:54" ht="36">
      <c r="A165" t="s" s="157">
        <v>1833</v>
      </c>
      <c r="B165" s="145">
        <v>164</v>
      </c>
      <c r="C165" t="s" s="127">
        <v>1623</v>
      </c>
      <c r="D165" t="s" s="38">
        <v>420</v>
      </c>
      <c r="E165" s="32"/>
      <c r="F165" s="32"/>
      <c r="G165" s="32"/>
      <c r="H165" s="32"/>
      <c r="I165" s="32"/>
      <c r="J165" s="32"/>
      <c r="K165" s="32"/>
      <c r="L165" s="32"/>
      <c r="M165" s="32"/>
      <c r="N165" s="32"/>
      <c r="O165" s="32"/>
      <c r="P165" s="32"/>
      <c r="Q165" s="32"/>
      <c r="R165" s="32"/>
      <c r="S165" s="32"/>
      <c r="T165" s="32"/>
      <c r="U165" s="32"/>
      <c r="V165" s="32"/>
      <c r="W165" s="32"/>
      <c r="X165" s="32"/>
      <c r="Y165" s="32"/>
      <c r="Z165" s="32"/>
      <c r="AA165" s="32"/>
      <c r="AB165" s="32"/>
      <c r="AC165" s="32"/>
      <c r="AD165" s="32"/>
      <c r="AE165" s="32"/>
      <c r="AF165" s="32"/>
      <c r="AG165" s="32"/>
      <c r="AH165" s="32"/>
      <c r="AI165" s="32"/>
      <c r="AJ165" s="32"/>
      <c r="AK165" s="32"/>
      <c r="AL165" s="32"/>
      <c r="AM165" s="32"/>
      <c r="AN165" s="32"/>
      <c r="AO165" s="32"/>
      <c r="AP165" s="32"/>
      <c r="AQ165" s="32"/>
      <c r="AR165" s="32"/>
      <c r="AS165" s="32"/>
      <c r="AT165" s="32"/>
      <c r="AU165" s="32"/>
      <c r="AV165" s="32"/>
      <c r="AW165" s="32"/>
      <c r="AX165" s="32"/>
      <c r="AY165" s="32"/>
      <c r="AZ165" s="32"/>
      <c r="BA165" s="32"/>
      <c r="BB165" s="32"/>
    </row>
    <row r="166" spans="1:54" ht="36">
      <c r="A166" t="s" s="157">
        <v>1833</v>
      </c>
      <c r="B166" s="145">
        <v>165</v>
      </c>
      <c r="C166" t="s" s="127">
        <v>11</v>
      </c>
      <c r="D166" t="s" s="38">
        <v>430</v>
      </c>
      <c r="E166" s="154"/>
      <c r="F166" s="154"/>
      <c r="G166" s="154"/>
      <c r="H166" s="154"/>
      <c r="I166" s="154"/>
      <c r="J166" s="154"/>
      <c r="K166" s="154"/>
      <c r="L166" s="154"/>
      <c r="M166" s="154"/>
      <c r="N166" s="154"/>
      <c r="O166" s="154"/>
      <c r="P166" s="154"/>
      <c r="Q166" s="154"/>
      <c r="R166" s="154"/>
      <c r="S166" s="154"/>
      <c r="T166" s="154"/>
      <c r="U166" s="154"/>
      <c r="V166" s="154"/>
      <c r="W166" s="154"/>
      <c r="X166" s="154"/>
      <c r="Y166" s="154"/>
      <c r="Z166" s="154"/>
      <c r="AA166" s="154"/>
      <c r="AB166" s="154"/>
      <c r="AC166" s="154"/>
      <c r="AD166" s="154"/>
      <c r="AE166" s="154"/>
      <c r="AF166" s="154"/>
      <c r="AG166" s="154"/>
      <c r="AH166" s="154"/>
      <c r="AI166" s="154"/>
      <c r="AJ166" s="154"/>
      <c r="AK166" s="154"/>
      <c r="AL166" s="154"/>
      <c r="AM166" s="154"/>
      <c r="AN166" s="154"/>
      <c r="AO166" s="154"/>
      <c r="AP166" s="154"/>
      <c r="AQ166" s="154"/>
      <c r="AR166" s="154"/>
      <c r="AS166" s="154"/>
      <c r="AT166" s="154"/>
      <c r="AU166" s="154"/>
      <c r="AV166" s="154"/>
      <c r="AW166" s="154"/>
      <c r="AX166" s="154"/>
      <c r="AY166" s="154"/>
      <c r="AZ166" s="154"/>
      <c r="BA166" s="154"/>
      <c r="BB166" s="154"/>
    </row>
    <row r="167" spans="1:54" ht="96">
      <c r="A167" t="s" s="157">
        <v>1833</v>
      </c>
      <c r="B167" s="145">
        <v>166</v>
      </c>
      <c r="C167" t="s" s="127">
        <v>1694</v>
      </c>
      <c r="D167" t="s" s="38">
        <v>12</v>
      </c>
      <c r="E167" t="s" s="32">
        <v>1055</v>
      </c>
      <c r="F167" t="s" s="32">
        <v>1055</v>
      </c>
      <c r="G167" t="s" s="32">
        <v>1055</v>
      </c>
      <c r="H167" t="s" s="32">
        <v>1055</v>
      </c>
      <c r="I167" t="s" s="32">
        <v>1055</v>
      </c>
      <c r="J167" t="s" s="32">
        <v>1055</v>
      </c>
      <c r="K167" t="s" s="32">
        <v>1055</v>
      </c>
      <c r="L167" t="s" s="32">
        <v>1055</v>
      </c>
      <c r="M167" t="s" s="32">
        <v>1055</v>
      </c>
      <c r="N167" t="s" s="32">
        <v>1055</v>
      </c>
      <c r="O167" t="s" s="32">
        <v>1055</v>
      </c>
      <c r="P167" t="s" s="32">
        <v>1055</v>
      </c>
      <c r="Q167" t="s" s="32">
        <v>1055</v>
      </c>
      <c r="R167" t="s" s="32">
        <v>1055</v>
      </c>
      <c r="S167" t="s" s="32">
        <v>1055</v>
      </c>
      <c r="T167" t="s" s="32">
        <v>1055</v>
      </c>
      <c r="U167" t="s" s="32">
        <v>1055</v>
      </c>
      <c r="V167" t="s" s="32">
        <v>1055</v>
      </c>
      <c r="W167" t="s" s="32">
        <v>1055</v>
      </c>
      <c r="X167" t="s" s="32">
        <v>1055</v>
      </c>
      <c r="Y167" t="s" s="32">
        <v>1055</v>
      </c>
      <c r="Z167" t="s" s="32">
        <v>1055</v>
      </c>
      <c r="AA167" t="s" s="32">
        <v>1055</v>
      </c>
      <c r="AB167" t="s" s="32">
        <v>1055</v>
      </c>
      <c r="AC167" t="s" s="32">
        <v>1055</v>
      </c>
      <c r="AD167" t="s" s="32">
        <v>1055</v>
      </c>
      <c r="AE167" t="s" s="32">
        <v>1055</v>
      </c>
      <c r="AF167" t="s" s="32">
        <v>1055</v>
      </c>
      <c r="AG167" t="s" s="32">
        <v>1055</v>
      </c>
      <c r="AH167" t="s" s="32">
        <v>1055</v>
      </c>
      <c r="AI167" t="s" s="32">
        <v>1055</v>
      </c>
      <c r="AJ167" t="s" s="32">
        <v>1055</v>
      </c>
      <c r="AK167" t="s" s="32">
        <v>1055</v>
      </c>
      <c r="AL167" t="s" s="32">
        <v>1055</v>
      </c>
      <c r="AM167" t="s" s="32">
        <v>1055</v>
      </c>
      <c r="AN167" t="s" s="32">
        <v>1055</v>
      </c>
      <c r="AO167" t="s" s="32">
        <v>1055</v>
      </c>
      <c r="AP167" t="s" s="32">
        <v>1055</v>
      </c>
      <c r="AQ167" t="s" s="32">
        <v>1055</v>
      </c>
      <c r="AR167" t="s" s="32">
        <v>1055</v>
      </c>
      <c r="AS167" t="s" s="32">
        <v>1055</v>
      </c>
      <c r="AT167" t="s" s="32">
        <v>1055</v>
      </c>
      <c r="AU167" t="s" s="32">
        <v>1055</v>
      </c>
      <c r="AV167" t="s" s="32">
        <v>1055</v>
      </c>
      <c r="AW167" t="s" s="32">
        <v>1055</v>
      </c>
      <c r="AX167" t="s" s="32">
        <v>1055</v>
      </c>
      <c r="AY167" t="s" s="32">
        <v>1055</v>
      </c>
      <c r="AZ167" t="s" s="32">
        <v>1055</v>
      </c>
      <c r="BA167" t="s" s="32">
        <v>1055</v>
      </c>
      <c r="BB167" t="s" s="32">
        <v>1055</v>
      </c>
    </row>
    <row r="168" spans="1:54" ht="60">
      <c r="A168" t="s" s="157">
        <v>1833</v>
      </c>
      <c r="B168" s="145">
        <v>167</v>
      </c>
      <c r="C168" t="s" s="127">
        <v>736</v>
      </c>
      <c r="D168" t="s" s="38">
        <v>1937</v>
      </c>
      <c r="E168" s="32"/>
      <c r="F168" s="32"/>
      <c r="G168" s="32"/>
      <c r="H168" s="32"/>
      <c r="I168" s="32"/>
      <c r="J168" s="32"/>
      <c r="K168" s="32"/>
      <c r="L168" s="32"/>
      <c r="M168" s="32"/>
      <c r="N168" s="32"/>
      <c r="O168" s="32"/>
      <c r="P168" s="32"/>
      <c r="Q168" s="32"/>
      <c r="R168" s="32"/>
      <c r="S168" s="32"/>
      <c r="T168" s="32"/>
      <c r="U168" s="32"/>
      <c r="V168" s="32"/>
      <c r="W168" s="32"/>
      <c r="X168" s="32"/>
      <c r="Y168" s="32"/>
      <c r="Z168" s="32"/>
      <c r="AA168" s="32"/>
      <c r="AB168" s="32"/>
      <c r="AC168" s="32"/>
      <c r="AD168" s="32"/>
      <c r="AE168" s="32"/>
      <c r="AF168" s="32"/>
      <c r="AG168" s="32"/>
      <c r="AH168" s="32"/>
      <c r="AI168" s="32"/>
      <c r="AJ168" s="32"/>
      <c r="AK168" s="32"/>
      <c r="AL168" s="32"/>
      <c r="AM168" s="32"/>
      <c r="AN168" s="32"/>
      <c r="AO168" s="32"/>
      <c r="AP168" s="32"/>
      <c r="AQ168" s="32"/>
      <c r="AR168" s="32"/>
      <c r="AS168" s="32"/>
      <c r="AT168" s="32"/>
      <c r="AU168" s="32"/>
      <c r="AV168" s="32"/>
      <c r="AW168" s="32"/>
      <c r="AX168" s="32"/>
      <c r="AY168" s="32"/>
      <c r="AZ168" s="32"/>
      <c r="BA168" s="32"/>
      <c r="BB168" s="32"/>
    </row>
    <row r="169" spans="1:54">
      <c r="B169" s="145">
        <v>168</v>
      </c>
      <c r="C169" t="s" s="127">
        <v>899</v>
      </c>
      <c r="D169" t="s" s="38">
        <v>1053</v>
      </c>
      <c r="E169" t="s" s="32">
        <v>68</v>
      </c>
      <c r="F169" t="s" s="32">
        <v>68</v>
      </c>
      <c r="G169" t="s" s="32">
        <v>68</v>
      </c>
      <c r="H169" t="s" s="32">
        <v>68</v>
      </c>
      <c r="I169" t="s" s="32">
        <v>68</v>
      </c>
      <c r="J169" t="s" s="32">
        <v>68</v>
      </c>
      <c r="K169" t="s" s="32">
        <v>68</v>
      </c>
      <c r="L169" t="s" s="32">
        <v>68</v>
      </c>
      <c r="M169" t="s" s="32">
        <v>68</v>
      </c>
      <c r="N169" t="s" s="32">
        <v>68</v>
      </c>
      <c r="O169" t="s" s="32">
        <v>68</v>
      </c>
      <c r="P169" t="s" s="32">
        <v>68</v>
      </c>
      <c r="Q169" t="s" s="32">
        <v>68</v>
      </c>
      <c r="R169" t="s" s="32">
        <v>68</v>
      </c>
      <c r="S169" t="s" s="32">
        <v>68</v>
      </c>
      <c r="T169" t="s" s="32">
        <v>68</v>
      </c>
      <c r="U169" t="s" s="32">
        <v>68</v>
      </c>
      <c r="V169" t="s" s="32">
        <v>68</v>
      </c>
      <c r="W169" t="s" s="32">
        <v>68</v>
      </c>
      <c r="X169" t="s" s="32">
        <v>68</v>
      </c>
      <c r="Y169" t="s" s="32">
        <v>68</v>
      </c>
      <c r="Z169" t="s" s="32">
        <v>68</v>
      </c>
      <c r="AA169" t="s" s="32">
        <v>68</v>
      </c>
      <c r="AB169" t="s" s="32">
        <v>68</v>
      </c>
      <c r="AC169" t="s" s="32">
        <v>68</v>
      </c>
      <c r="AD169" t="s" s="32">
        <v>68</v>
      </c>
      <c r="AE169" t="s" s="32">
        <v>68</v>
      </c>
      <c r="AF169" t="s" s="32">
        <v>68</v>
      </c>
      <c r="AG169" t="s" s="32">
        <v>68</v>
      </c>
      <c r="AH169" t="s" s="32">
        <v>68</v>
      </c>
      <c r="AI169" t="s" s="32">
        <v>68</v>
      </c>
      <c r="AJ169" t="s" s="32">
        <v>68</v>
      </c>
      <c r="AK169" t="s" s="32">
        <v>68</v>
      </c>
      <c r="AL169" t="s" s="32">
        <v>68</v>
      </c>
      <c r="AM169" t="s" s="32">
        <v>68</v>
      </c>
      <c r="AN169" t="s" s="32">
        <v>68</v>
      </c>
      <c r="AO169" t="s" s="32">
        <v>68</v>
      </c>
      <c r="AP169" t="s" s="32">
        <v>68</v>
      </c>
      <c r="AQ169" t="s" s="32">
        <v>68</v>
      </c>
      <c r="AR169" t="s" s="32">
        <v>68</v>
      </c>
      <c r="AS169" t="s" s="32">
        <v>68</v>
      </c>
      <c r="AT169" t="s" s="32">
        <v>68</v>
      </c>
      <c r="AU169" t="s" s="32">
        <v>68</v>
      </c>
      <c r="AV169" t="s" s="32">
        <v>68</v>
      </c>
      <c r="AW169" t="s" s="32">
        <v>68</v>
      </c>
      <c r="AX169" t="s" s="32">
        <v>68</v>
      </c>
      <c r="AY169" t="s" s="32">
        <v>68</v>
      </c>
      <c r="AZ169" t="s" s="32">
        <v>68</v>
      </c>
      <c r="BA169" t="s" s="32">
        <v>68</v>
      </c>
      <c r="BB169" t="s" s="32">
        <v>68</v>
      </c>
    </row>
    <row r="170" spans="1:54">
      <c r="B170" s="145">
        <v>169</v>
      </c>
      <c r="C170" t="s" s="127">
        <v>1138</v>
      </c>
      <c r="D170" t="s" s="38">
        <v>140</v>
      </c>
      <c r="E170" t="s" s="154">
        <v>68</v>
      </c>
      <c r="F170" t="s" s="154">
        <v>68</v>
      </c>
      <c r="G170" t="s" s="154">
        <v>68</v>
      </c>
      <c r="H170" t="s" s="154">
        <v>68</v>
      </c>
      <c r="I170" t="s" s="154">
        <v>68</v>
      </c>
      <c r="J170" t="s" s="154">
        <v>68</v>
      </c>
      <c r="K170" t="s" s="154">
        <v>68</v>
      </c>
      <c r="L170" t="s" s="154">
        <v>68</v>
      </c>
      <c r="M170" t="s" s="154">
        <v>68</v>
      </c>
      <c r="N170" t="s" s="154">
        <v>68</v>
      </c>
      <c r="O170" t="s" s="154">
        <v>68</v>
      </c>
      <c r="P170" t="s" s="154">
        <v>68</v>
      </c>
      <c r="Q170" t="s" s="154">
        <v>68</v>
      </c>
      <c r="R170" t="s" s="154">
        <v>68</v>
      </c>
      <c r="S170" t="s" s="154">
        <v>68</v>
      </c>
      <c r="T170" t="s" s="154">
        <v>68</v>
      </c>
      <c r="U170" t="s" s="154">
        <v>68</v>
      </c>
      <c r="V170" t="s" s="154">
        <v>68</v>
      </c>
      <c r="W170" t="s" s="154">
        <v>68</v>
      </c>
      <c r="X170" t="s" s="154">
        <v>68</v>
      </c>
      <c r="Y170" t="s" s="154">
        <v>68</v>
      </c>
      <c r="Z170" t="s" s="154">
        <v>68</v>
      </c>
      <c r="AA170" t="s" s="154">
        <v>68</v>
      </c>
      <c r="AB170" t="s" s="154">
        <v>68</v>
      </c>
      <c r="AC170" t="s" s="154">
        <v>68</v>
      </c>
      <c r="AD170" t="s" s="154">
        <v>68</v>
      </c>
      <c r="AE170" t="s" s="154">
        <v>68</v>
      </c>
      <c r="AF170" t="s" s="154">
        <v>68</v>
      </c>
      <c r="AG170" t="s" s="154">
        <v>68</v>
      </c>
      <c r="AH170" t="s" s="154">
        <v>68</v>
      </c>
      <c r="AI170" t="s" s="154">
        <v>68</v>
      </c>
      <c r="AJ170" t="s" s="154">
        <v>68</v>
      </c>
      <c r="AK170" t="s" s="154">
        <v>68</v>
      </c>
      <c r="AL170" t="s" s="154">
        <v>68</v>
      </c>
      <c r="AM170" t="s" s="154">
        <v>68</v>
      </c>
      <c r="AN170" t="s" s="154">
        <v>68</v>
      </c>
      <c r="AO170" t="s" s="154">
        <v>68</v>
      </c>
      <c r="AP170" t="s" s="154">
        <v>68</v>
      </c>
      <c r="AQ170" t="s" s="154">
        <v>68</v>
      </c>
      <c r="AR170" t="s" s="154">
        <v>68</v>
      </c>
      <c r="AS170" t="s" s="154">
        <v>68</v>
      </c>
      <c r="AT170" t="s" s="154">
        <v>68</v>
      </c>
      <c r="AU170" t="s" s="154">
        <v>68</v>
      </c>
      <c r="AV170" t="s" s="154">
        <v>68</v>
      </c>
      <c r="AW170" t="s" s="154">
        <v>68</v>
      </c>
      <c r="AX170" t="s" s="154">
        <v>68</v>
      </c>
      <c r="AY170" t="s" s="154">
        <v>68</v>
      </c>
      <c r="AZ170" t="s" s="154">
        <v>68</v>
      </c>
      <c r="BA170" t="s" s="154">
        <v>68</v>
      </c>
      <c r="BB170" t="s" s="154">
        <v>68</v>
      </c>
    </row>
    <row r="171" spans="1:54" ht="24">
      <c r="B171" s="145">
        <v>170</v>
      </c>
      <c r="C171" t="s" s="127">
        <v>1120</v>
      </c>
      <c r="D171" t="s" s="38">
        <v>1010</v>
      </c>
      <c r="E171" t="s" s="32">
        <v>68</v>
      </c>
      <c r="F171" t="s" s="32">
        <v>68</v>
      </c>
      <c r="G171" t="s" s="32">
        <v>68</v>
      </c>
      <c r="H171" t="s" s="32">
        <v>68</v>
      </c>
      <c r="I171" t="s" s="32">
        <v>68</v>
      </c>
      <c r="J171" t="s" s="32">
        <v>68</v>
      </c>
      <c r="K171" t="s" s="32">
        <v>68</v>
      </c>
      <c r="L171" t="s" s="32">
        <v>68</v>
      </c>
      <c r="M171" t="s" s="32">
        <v>68</v>
      </c>
      <c r="N171" t="s" s="32">
        <v>68</v>
      </c>
      <c r="O171" t="s" s="32">
        <v>68</v>
      </c>
      <c r="P171" t="s" s="32">
        <v>68</v>
      </c>
      <c r="Q171" t="s" s="32">
        <v>68</v>
      </c>
      <c r="R171" t="s" s="32">
        <v>68</v>
      </c>
      <c r="S171" t="s" s="32">
        <v>68</v>
      </c>
      <c r="T171" t="s" s="32">
        <v>68</v>
      </c>
      <c r="U171" t="s" s="32">
        <v>68</v>
      </c>
      <c r="V171" t="s" s="32">
        <v>68</v>
      </c>
      <c r="W171" t="s" s="32">
        <v>68</v>
      </c>
      <c r="X171" t="s" s="32">
        <v>68</v>
      </c>
      <c r="Y171" t="s" s="32">
        <v>68</v>
      </c>
      <c r="Z171" t="s" s="32">
        <v>68</v>
      </c>
      <c r="AA171" t="s" s="32">
        <v>68</v>
      </c>
      <c r="AB171" t="s" s="32">
        <v>68</v>
      </c>
      <c r="AC171" t="s" s="32">
        <v>68</v>
      </c>
      <c r="AD171" t="s" s="32">
        <v>68</v>
      </c>
      <c r="AE171" t="s" s="32">
        <v>68</v>
      </c>
      <c r="AF171" t="s" s="32">
        <v>68</v>
      </c>
      <c r="AG171" t="s" s="32">
        <v>68</v>
      </c>
      <c r="AH171" t="s" s="32">
        <v>68</v>
      </c>
      <c r="AI171" t="s" s="32">
        <v>68</v>
      </c>
      <c r="AJ171" t="s" s="32">
        <v>68</v>
      </c>
      <c r="AK171" t="s" s="32">
        <v>68</v>
      </c>
      <c r="AL171" t="s" s="32">
        <v>68</v>
      </c>
      <c r="AM171" t="s" s="32">
        <v>68</v>
      </c>
      <c r="AN171" t="s" s="32">
        <v>68</v>
      </c>
      <c r="AO171" t="s" s="32">
        <v>68</v>
      </c>
      <c r="AP171" t="s" s="32">
        <v>68</v>
      </c>
      <c r="AQ171" t="s" s="32">
        <v>68</v>
      </c>
      <c r="AR171" t="s" s="32">
        <v>68</v>
      </c>
      <c r="AS171" t="s" s="32">
        <v>68</v>
      </c>
      <c r="AT171" t="s" s="32">
        <v>68</v>
      </c>
      <c r="AU171" t="s" s="32">
        <v>68</v>
      </c>
      <c r="AV171" t="s" s="32">
        <v>68</v>
      </c>
      <c r="AW171" t="s" s="32">
        <v>68</v>
      </c>
      <c r="AX171" t="s" s="32">
        <v>68</v>
      </c>
      <c r="AY171" t="s" s="32">
        <v>68</v>
      </c>
      <c r="AZ171" t="s" s="32">
        <v>68</v>
      </c>
      <c r="BA171" t="s" s="32">
        <v>68</v>
      </c>
      <c r="BB171" t="s" s="32">
        <v>68</v>
      </c>
    </row>
    <row r="172" spans="1:54" ht="24">
      <c r="B172" s="145">
        <v>171</v>
      </c>
      <c r="C172" t="s" s="127">
        <v>37</v>
      </c>
      <c r="D172" t="s" s="38">
        <v>114</v>
      </c>
      <c r="E172" t="s" s="32">
        <v>68</v>
      </c>
      <c r="F172" t="s" s="32">
        <v>68</v>
      </c>
      <c r="G172" t="s" s="32">
        <v>68</v>
      </c>
      <c r="H172" t="s" s="32">
        <v>68</v>
      </c>
      <c r="I172" t="s" s="32">
        <v>68</v>
      </c>
      <c r="J172" t="s" s="32">
        <v>68</v>
      </c>
      <c r="K172" t="s" s="32">
        <v>68</v>
      </c>
      <c r="L172" t="s" s="32">
        <v>68</v>
      </c>
      <c r="M172" t="s" s="32">
        <v>68</v>
      </c>
      <c r="N172" t="s" s="32">
        <v>68</v>
      </c>
      <c r="O172" t="s" s="32">
        <v>68</v>
      </c>
      <c r="P172" t="s" s="32">
        <v>68</v>
      </c>
      <c r="Q172" t="s" s="32">
        <v>68</v>
      </c>
      <c r="R172" t="s" s="32">
        <v>68</v>
      </c>
      <c r="S172" t="s" s="32">
        <v>68</v>
      </c>
      <c r="T172" t="s" s="32">
        <v>68</v>
      </c>
      <c r="U172" t="s" s="32">
        <v>68</v>
      </c>
      <c r="V172" t="s" s="32">
        <v>68</v>
      </c>
      <c r="W172" t="s" s="32">
        <v>68</v>
      </c>
      <c r="X172" t="s" s="32">
        <v>68</v>
      </c>
      <c r="Y172" t="s" s="32">
        <v>68</v>
      </c>
      <c r="Z172" t="s" s="32">
        <v>68</v>
      </c>
      <c r="AA172" t="s" s="32">
        <v>68</v>
      </c>
      <c r="AB172" t="s" s="32">
        <v>68</v>
      </c>
      <c r="AC172" t="s" s="32">
        <v>68</v>
      </c>
      <c r="AD172" t="s" s="32">
        <v>68</v>
      </c>
      <c r="AE172" t="s" s="32">
        <v>68</v>
      </c>
      <c r="AF172" t="s" s="32">
        <v>68</v>
      </c>
      <c r="AG172" t="s" s="32">
        <v>68</v>
      </c>
      <c r="AH172" t="s" s="32">
        <v>68</v>
      </c>
      <c r="AI172" t="s" s="32">
        <v>68</v>
      </c>
      <c r="AJ172" t="s" s="32">
        <v>68</v>
      </c>
      <c r="AK172" t="s" s="32">
        <v>68</v>
      </c>
      <c r="AL172" t="s" s="32">
        <v>68</v>
      </c>
      <c r="AM172" t="s" s="32">
        <v>68</v>
      </c>
      <c r="AN172" t="s" s="32">
        <v>68</v>
      </c>
      <c r="AO172" t="s" s="32">
        <v>68</v>
      </c>
      <c r="AP172" t="s" s="32">
        <v>68</v>
      </c>
      <c r="AQ172" t="s" s="32">
        <v>68</v>
      </c>
      <c r="AR172" t="s" s="32">
        <v>68</v>
      </c>
      <c r="AS172" t="s" s="32">
        <v>68</v>
      </c>
      <c r="AT172" t="s" s="32">
        <v>68</v>
      </c>
      <c r="AU172" t="s" s="32">
        <v>68</v>
      </c>
      <c r="AV172" t="s" s="32">
        <v>68</v>
      </c>
      <c r="AW172" t="s" s="32">
        <v>68</v>
      </c>
      <c r="AX172" t="s" s="32">
        <v>68</v>
      </c>
      <c r="AY172" t="s" s="32">
        <v>68</v>
      </c>
      <c r="AZ172" t="s" s="32">
        <v>68</v>
      </c>
      <c r="BA172" t="s" s="32">
        <v>68</v>
      </c>
      <c r="BB172" t="s" s="32">
        <v>68</v>
      </c>
    </row>
    <row r="173" spans="1:54" ht="24">
      <c r="B173" s="145">
        <v>172</v>
      </c>
      <c r="C173" t="s" s="127">
        <v>1084</v>
      </c>
      <c r="D173" t="s" s="38">
        <v>857</v>
      </c>
      <c r="E173" t="s" s="32">
        <v>68</v>
      </c>
      <c r="F173" t="s" s="32">
        <v>68</v>
      </c>
      <c r="G173" t="s" s="32">
        <v>68</v>
      </c>
      <c r="H173" t="s" s="32">
        <v>68</v>
      </c>
      <c r="I173" t="s" s="32">
        <v>68</v>
      </c>
      <c r="J173" t="s" s="32">
        <v>68</v>
      </c>
      <c r="K173" t="s" s="32">
        <v>68</v>
      </c>
      <c r="L173" t="s" s="32">
        <v>68</v>
      </c>
      <c r="M173" t="s" s="32">
        <v>68</v>
      </c>
      <c r="N173" t="s" s="32">
        <v>68</v>
      </c>
      <c r="O173" t="s" s="32">
        <v>68</v>
      </c>
      <c r="P173" t="s" s="32">
        <v>68</v>
      </c>
      <c r="Q173" t="s" s="32">
        <v>68</v>
      </c>
      <c r="R173" t="s" s="32">
        <v>68</v>
      </c>
      <c r="S173" t="s" s="32">
        <v>68</v>
      </c>
      <c r="T173" t="s" s="32">
        <v>68</v>
      </c>
      <c r="U173" t="s" s="32">
        <v>68</v>
      </c>
      <c r="V173" t="s" s="32">
        <v>68</v>
      </c>
      <c r="W173" t="s" s="32">
        <v>68</v>
      </c>
      <c r="X173" t="s" s="32">
        <v>68</v>
      </c>
      <c r="Y173" t="s" s="32">
        <v>68</v>
      </c>
      <c r="Z173" t="s" s="32">
        <v>68</v>
      </c>
      <c r="AA173" t="s" s="32">
        <v>68</v>
      </c>
      <c r="AB173" t="s" s="32">
        <v>68</v>
      </c>
      <c r="AC173" t="s" s="32">
        <v>68</v>
      </c>
      <c r="AD173" t="s" s="32">
        <v>68</v>
      </c>
      <c r="AE173" t="s" s="32">
        <v>68</v>
      </c>
      <c r="AF173" t="s" s="32">
        <v>68</v>
      </c>
      <c r="AG173" t="s" s="32">
        <v>68</v>
      </c>
      <c r="AH173" t="s" s="32">
        <v>68</v>
      </c>
      <c r="AI173" t="s" s="32">
        <v>68</v>
      </c>
      <c r="AJ173" t="s" s="32">
        <v>68</v>
      </c>
      <c r="AK173" t="s" s="32">
        <v>68</v>
      </c>
      <c r="AL173" t="s" s="32">
        <v>68</v>
      </c>
      <c r="AM173" t="s" s="32">
        <v>68</v>
      </c>
      <c r="AN173" t="s" s="32">
        <v>68</v>
      </c>
      <c r="AO173" t="s" s="32">
        <v>68</v>
      </c>
      <c r="AP173" t="s" s="32">
        <v>68</v>
      </c>
      <c r="AQ173" t="s" s="32">
        <v>68</v>
      </c>
      <c r="AR173" t="s" s="32">
        <v>68</v>
      </c>
      <c r="AS173" t="s" s="32">
        <v>68</v>
      </c>
      <c r="AT173" t="s" s="32">
        <v>68</v>
      </c>
      <c r="AU173" t="s" s="32">
        <v>68</v>
      </c>
      <c r="AV173" t="s" s="32">
        <v>68</v>
      </c>
      <c r="AW173" t="s" s="32">
        <v>68</v>
      </c>
      <c r="AX173" t="s" s="32">
        <v>68</v>
      </c>
      <c r="AY173" t="s" s="32">
        <v>68</v>
      </c>
      <c r="AZ173" t="s" s="32">
        <v>68</v>
      </c>
      <c r="BA173" t="s" s="32">
        <v>68</v>
      </c>
      <c r="BB173" t="s" s="32">
        <v>68</v>
      </c>
    </row>
    <row r="174" spans="1:54" ht="48">
      <c r="A174" t="s" s="157">
        <v>1548</v>
      </c>
      <c r="B174" s="145">
        <v>173</v>
      </c>
      <c r="C174" t="s" s="127">
        <v>70</v>
      </c>
      <c r="D174" t="s" s="38">
        <v>1538</v>
      </c>
      <c r="E174" t="s" s="125">
        <v>68</v>
      </c>
      <c r="F174" t="s" s="125">
        <v>68</v>
      </c>
      <c r="G174" t="s" s="125">
        <v>68</v>
      </c>
      <c r="H174" t="s" s="125">
        <v>68</v>
      </c>
      <c r="I174" t="s" s="125">
        <v>68</v>
      </c>
      <c r="J174" t="s" s="125">
        <v>68</v>
      </c>
      <c r="K174" t="s" s="125">
        <v>68</v>
      </c>
      <c r="L174" t="s" s="125">
        <v>68</v>
      </c>
      <c r="M174" t="s" s="125">
        <v>68</v>
      </c>
      <c r="N174" t="s" s="125">
        <v>68</v>
      </c>
      <c r="O174" t="s" s="125">
        <v>68</v>
      </c>
      <c r="P174" t="s" s="125">
        <v>68</v>
      </c>
      <c r="Q174" t="s" s="125">
        <v>68</v>
      </c>
      <c r="R174" t="s" s="125">
        <v>68</v>
      </c>
      <c r="S174" t="s" s="125">
        <v>68</v>
      </c>
      <c r="T174" t="s" s="125">
        <v>68</v>
      </c>
      <c r="U174" t="s" s="125">
        <v>68</v>
      </c>
      <c r="V174" t="s" s="125">
        <v>68</v>
      </c>
      <c r="W174" t="s" s="125">
        <v>68</v>
      </c>
      <c r="X174" t="s" s="125">
        <v>68</v>
      </c>
      <c r="Y174" t="s" s="125">
        <v>68</v>
      </c>
      <c r="Z174" t="s" s="125">
        <v>68</v>
      </c>
      <c r="AA174" t="s" s="125">
        <v>68</v>
      </c>
      <c r="AB174" t="s" s="125">
        <v>68</v>
      </c>
      <c r="AC174" t="s" s="125">
        <v>68</v>
      </c>
      <c r="AD174" t="s" s="125">
        <v>68</v>
      </c>
      <c r="AE174" t="s" s="125">
        <v>68</v>
      </c>
      <c r="AF174" t="s" s="125">
        <v>68</v>
      </c>
      <c r="AG174" t="s" s="125">
        <v>68</v>
      </c>
      <c r="AH174" t="s" s="125">
        <v>68</v>
      </c>
      <c r="AI174" t="s" s="125">
        <v>68</v>
      </c>
      <c r="AJ174" t="s" s="125">
        <v>68</v>
      </c>
      <c r="AK174" t="s" s="125">
        <v>68</v>
      </c>
      <c r="AL174" t="s" s="125">
        <v>68</v>
      </c>
      <c r="AM174" t="s" s="125">
        <v>68</v>
      </c>
      <c r="AN174" t="s" s="125">
        <v>68</v>
      </c>
      <c r="AO174" t="s" s="125">
        <v>68</v>
      </c>
      <c r="AP174" t="s" s="125">
        <v>68</v>
      </c>
      <c r="AQ174" t="s" s="125">
        <v>68</v>
      </c>
      <c r="AR174" t="s" s="125">
        <v>68</v>
      </c>
      <c r="AS174" t="s" s="125">
        <v>68</v>
      </c>
      <c r="AT174" t="s" s="125">
        <v>68</v>
      </c>
      <c r="AU174" t="s" s="125">
        <v>68</v>
      </c>
      <c r="AV174" t="s" s="125">
        <v>68</v>
      </c>
      <c r="AW174" t="s" s="125">
        <v>68</v>
      </c>
      <c r="AX174" t="s" s="125">
        <v>68</v>
      </c>
      <c r="AY174" t="s" s="125">
        <v>68</v>
      </c>
      <c r="AZ174" t="s" s="125">
        <v>68</v>
      </c>
      <c r="BA174" t="s" s="125">
        <v>68</v>
      </c>
      <c r="BB174" t="s" s="125">
        <v>68</v>
      </c>
    </row>
    <row r="175" spans="1:54" ht="36">
      <c r="B175" s="145">
        <v>174</v>
      </c>
      <c r="C175" t="s" s="127">
        <v>519</v>
      </c>
      <c r="D175" t="s" s="38">
        <v>1691</v>
      </c>
      <c r="E175" t="s" s="32">
        <v>68</v>
      </c>
      <c r="F175" t="s" s="32">
        <v>68</v>
      </c>
      <c r="G175" t="s" s="32">
        <v>68</v>
      </c>
      <c r="H175" t="s" s="32">
        <v>68</v>
      </c>
      <c r="I175" t="s" s="32">
        <v>68</v>
      </c>
      <c r="J175" t="s" s="32">
        <v>68</v>
      </c>
      <c r="K175" t="s" s="32">
        <v>68</v>
      </c>
      <c r="L175" t="s" s="32">
        <v>68</v>
      </c>
      <c r="M175" t="s" s="32">
        <v>68</v>
      </c>
      <c r="N175" t="s" s="32">
        <v>68</v>
      </c>
      <c r="O175" t="s" s="32">
        <v>68</v>
      </c>
      <c r="P175" t="s" s="32">
        <v>68</v>
      </c>
      <c r="Q175" t="s" s="32">
        <v>68</v>
      </c>
      <c r="R175" t="s" s="32">
        <v>68</v>
      </c>
      <c r="S175" t="s" s="32">
        <v>68</v>
      </c>
      <c r="T175" t="s" s="32">
        <v>68</v>
      </c>
      <c r="U175" t="s" s="32">
        <v>68</v>
      </c>
      <c r="V175" t="s" s="32">
        <v>68</v>
      </c>
      <c r="W175" t="s" s="32">
        <v>68</v>
      </c>
      <c r="X175" t="s" s="32">
        <v>68</v>
      </c>
      <c r="Y175" t="s" s="32">
        <v>68</v>
      </c>
      <c r="Z175" t="s" s="32">
        <v>68</v>
      </c>
      <c r="AA175" t="s" s="32">
        <v>68</v>
      </c>
      <c r="AB175" t="s" s="32">
        <v>68</v>
      </c>
      <c r="AC175" t="s" s="32">
        <v>68</v>
      </c>
      <c r="AD175" t="s" s="32">
        <v>68</v>
      </c>
      <c r="AE175" t="s" s="32">
        <v>68</v>
      </c>
      <c r="AF175" t="s" s="32">
        <v>68</v>
      </c>
      <c r="AG175" t="s" s="32">
        <v>68</v>
      </c>
      <c r="AH175" t="s" s="32">
        <v>68</v>
      </c>
      <c r="AI175" t="s" s="32">
        <v>68</v>
      </c>
      <c r="AJ175" t="s" s="32">
        <v>68</v>
      </c>
      <c r="AK175" t="s" s="32">
        <v>68</v>
      </c>
      <c r="AL175" t="s" s="32">
        <v>68</v>
      </c>
      <c r="AM175" t="s" s="32">
        <v>68</v>
      </c>
      <c r="AN175" t="s" s="32">
        <v>68</v>
      </c>
      <c r="AO175" t="s" s="32">
        <v>68</v>
      </c>
      <c r="AP175" t="s" s="32">
        <v>68</v>
      </c>
      <c r="AQ175" t="s" s="32">
        <v>68</v>
      </c>
      <c r="AR175" t="s" s="32">
        <v>68</v>
      </c>
      <c r="AS175" t="s" s="32">
        <v>68</v>
      </c>
      <c r="AT175" t="s" s="32">
        <v>68</v>
      </c>
      <c r="AU175" t="s" s="32">
        <v>68</v>
      </c>
      <c r="AV175" t="s" s="32">
        <v>68</v>
      </c>
      <c r="AW175" t="s" s="32">
        <v>68</v>
      </c>
      <c r="AX175" t="s" s="32">
        <v>68</v>
      </c>
      <c r="AY175" t="s" s="32">
        <v>68</v>
      </c>
      <c r="AZ175" t="s" s="32">
        <v>68</v>
      </c>
      <c r="BA175" t="s" s="32">
        <v>68</v>
      </c>
      <c r="BB175" t="s" s="32">
        <v>68</v>
      </c>
    </row>
    <row r="176" spans="1:54" ht="60">
      <c r="A176" t="s" s="157">
        <v>1833</v>
      </c>
      <c r="B176" s="145">
        <v>175</v>
      </c>
      <c r="C176" t="s" s="23">
        <v>1134</v>
      </c>
      <c r="D176" t="s" s="38">
        <v>1938</v>
      </c>
      <c r="E176" s="32"/>
      <c r="F176" s="32"/>
      <c r="G176" s="32"/>
      <c r="H176" s="32"/>
      <c r="I176" s="32"/>
      <c r="J176" s="32"/>
      <c r="K176" s="32"/>
      <c r="L176" s="32"/>
      <c r="M176" s="32"/>
      <c r="N176" s="32"/>
      <c r="O176" s="32"/>
      <c r="P176" s="32"/>
      <c r="Q176" s="32"/>
      <c r="R176" s="32"/>
      <c r="S176" s="32"/>
      <c r="T176" s="32"/>
      <c r="U176" s="32"/>
      <c r="V176" s="32"/>
      <c r="W176" s="32"/>
      <c r="X176" s="32"/>
      <c r="Y176" s="32"/>
      <c r="Z176" s="32"/>
      <c r="AA176" s="32"/>
      <c r="AB176" s="32"/>
      <c r="AC176" s="32"/>
      <c r="AD176" s="32"/>
      <c r="AE176" s="32"/>
      <c r="AF176" s="32"/>
      <c r="AG176" s="32"/>
      <c r="AH176" s="32"/>
      <c r="AI176" s="32"/>
      <c r="AJ176" s="32"/>
      <c r="AK176" s="32"/>
      <c r="AL176" s="32"/>
      <c r="AM176" s="32"/>
      <c r="AN176" s="32"/>
      <c r="AO176" s="32"/>
      <c r="AP176" s="32"/>
      <c r="AQ176" s="32"/>
      <c r="AR176" s="32"/>
      <c r="AS176" s="32"/>
      <c r="AT176" s="32"/>
      <c r="AU176" s="32"/>
      <c r="AV176" s="32"/>
      <c r="AW176" s="32"/>
      <c r="AX176" s="32"/>
      <c r="AY176" s="32"/>
      <c r="AZ176" s="32"/>
      <c r="BA176" s="32"/>
      <c r="BB176" s="32"/>
    </row>
    <row r="177" spans="2:54" ht="24">
      <c r="B177" s="145">
        <v>176</v>
      </c>
      <c r="C177" t="s" s="127">
        <v>1831</v>
      </c>
      <c r="D177" t="s" s="38">
        <v>1950</v>
      </c>
      <c r="E177" t="s" s="32">
        <v>68</v>
      </c>
      <c r="F177" t="s" s="32">
        <v>68</v>
      </c>
      <c r="G177" t="s" s="32">
        <v>68</v>
      </c>
      <c r="H177" t="s" s="32">
        <v>68</v>
      </c>
      <c r="I177" t="s" s="32">
        <v>68</v>
      </c>
      <c r="J177" t="s" s="32">
        <v>68</v>
      </c>
      <c r="K177" t="s" s="32">
        <v>68</v>
      </c>
      <c r="L177" t="s" s="32">
        <v>68</v>
      </c>
      <c r="M177" t="s" s="32">
        <v>68</v>
      </c>
      <c r="N177" t="s" s="32">
        <v>68</v>
      </c>
      <c r="O177" t="s" s="32">
        <v>68</v>
      </c>
      <c r="P177" t="s" s="32">
        <v>68</v>
      </c>
      <c r="Q177" t="s" s="32">
        <v>68</v>
      </c>
      <c r="R177" t="s" s="32">
        <v>68</v>
      </c>
      <c r="S177" t="s" s="32">
        <v>68</v>
      </c>
      <c r="T177" t="s" s="32">
        <v>68</v>
      </c>
      <c r="U177" t="s" s="32">
        <v>68</v>
      </c>
      <c r="V177" t="s" s="32">
        <v>68</v>
      </c>
      <c r="W177" t="s" s="32">
        <v>68</v>
      </c>
      <c r="X177" t="s" s="32">
        <v>68</v>
      </c>
      <c r="Y177" t="s" s="32">
        <v>68</v>
      </c>
      <c r="Z177" t="s" s="32">
        <v>68</v>
      </c>
      <c r="AA177" t="s" s="32">
        <v>68</v>
      </c>
      <c r="AB177" t="s" s="32">
        <v>68</v>
      </c>
      <c r="AC177" t="s" s="32">
        <v>68</v>
      </c>
      <c r="AD177" t="s" s="32">
        <v>68</v>
      </c>
      <c r="AE177" t="s" s="32">
        <v>68</v>
      </c>
      <c r="AF177" t="s" s="32">
        <v>68</v>
      </c>
      <c r="AG177" t="s" s="32">
        <v>68</v>
      </c>
      <c r="AH177" t="s" s="32">
        <v>68</v>
      </c>
      <c r="AI177" t="s" s="32">
        <v>68</v>
      </c>
      <c r="AJ177" t="s" s="32">
        <v>68</v>
      </c>
      <c r="AK177" t="s" s="32">
        <v>68</v>
      </c>
      <c r="AL177" t="s" s="32">
        <v>68</v>
      </c>
      <c r="AM177" t="s" s="32">
        <v>68</v>
      </c>
      <c r="AN177" t="s" s="32">
        <v>68</v>
      </c>
      <c r="AO177" t="s" s="32">
        <v>68</v>
      </c>
      <c r="AP177" t="s" s="32">
        <v>68</v>
      </c>
      <c r="AQ177" t="s" s="32">
        <v>68</v>
      </c>
      <c r="AR177" t="s" s="32">
        <v>68</v>
      </c>
      <c r="AS177" t="s" s="32">
        <v>68</v>
      </c>
      <c r="AT177" t="s" s="32">
        <v>68</v>
      </c>
      <c r="AU177" t="s" s="32">
        <v>68</v>
      </c>
      <c r="AV177" t="s" s="32">
        <v>68</v>
      </c>
      <c r="AW177" t="s" s="32">
        <v>68</v>
      </c>
      <c r="AX177" t="s" s="32">
        <v>68</v>
      </c>
      <c r="AY177" t="s" s="32">
        <v>68</v>
      </c>
      <c r="AZ177" t="s" s="32">
        <v>68</v>
      </c>
      <c r="BA177" t="s" s="32">
        <v>68</v>
      </c>
      <c r="BB177" t="s" s="32">
        <v>68</v>
      </c>
    </row>
    <row r="178" spans="2:54" ht="24">
      <c r="B178" s="145">
        <v>177</v>
      </c>
      <c r="C178" t="s" s="127">
        <v>1426</v>
      </c>
      <c r="D178" t="s" s="38">
        <v>1662</v>
      </c>
      <c r="E178" t="s" s="125">
        <v>68</v>
      </c>
      <c r="F178" t="s" s="125">
        <v>68</v>
      </c>
      <c r="G178" t="s" s="125">
        <v>68</v>
      </c>
      <c r="H178" t="s" s="125">
        <v>68</v>
      </c>
      <c r="I178" t="s" s="125">
        <v>68</v>
      </c>
      <c r="J178" t="s" s="125">
        <v>68</v>
      </c>
      <c r="K178" t="s" s="125">
        <v>68</v>
      </c>
      <c r="L178" t="s" s="125">
        <v>68</v>
      </c>
      <c r="M178" t="s" s="125">
        <v>68</v>
      </c>
      <c r="N178" t="s" s="125">
        <v>68</v>
      </c>
      <c r="O178" t="s" s="125">
        <v>68</v>
      </c>
      <c r="P178" t="s" s="125">
        <v>68</v>
      </c>
      <c r="Q178" t="s" s="125">
        <v>68</v>
      </c>
      <c r="R178" t="s" s="125">
        <v>68</v>
      </c>
      <c r="S178" t="s" s="125">
        <v>68</v>
      </c>
      <c r="T178" t="s" s="125">
        <v>68</v>
      </c>
      <c r="U178" t="s" s="125">
        <v>68</v>
      </c>
      <c r="V178" t="s" s="125">
        <v>68</v>
      </c>
      <c r="W178" t="s" s="125">
        <v>68</v>
      </c>
      <c r="X178" t="s" s="125">
        <v>68</v>
      </c>
      <c r="Y178" t="s" s="125">
        <v>68</v>
      </c>
      <c r="Z178" t="s" s="125">
        <v>68</v>
      </c>
      <c r="AA178" t="s" s="125">
        <v>68</v>
      </c>
      <c r="AB178" t="s" s="125">
        <v>68</v>
      </c>
      <c r="AC178" t="s" s="125">
        <v>68</v>
      </c>
      <c r="AD178" t="s" s="125">
        <v>68</v>
      </c>
      <c r="AE178" t="s" s="125">
        <v>68</v>
      </c>
      <c r="AF178" t="s" s="125">
        <v>68</v>
      </c>
      <c r="AG178" t="s" s="125">
        <v>68</v>
      </c>
      <c r="AH178" t="s" s="125">
        <v>68</v>
      </c>
      <c r="AI178" t="s" s="125">
        <v>68</v>
      </c>
      <c r="AJ178" t="s" s="125">
        <v>68</v>
      </c>
      <c r="AK178" t="s" s="125">
        <v>68</v>
      </c>
      <c r="AL178" t="s" s="125">
        <v>68</v>
      </c>
      <c r="AM178" t="s" s="125">
        <v>68</v>
      </c>
      <c r="AN178" t="s" s="125">
        <v>68</v>
      </c>
      <c r="AO178" t="s" s="125">
        <v>68</v>
      </c>
      <c r="AP178" t="s" s="125">
        <v>68</v>
      </c>
      <c r="AQ178" t="s" s="125">
        <v>68</v>
      </c>
      <c r="AR178" t="s" s="125">
        <v>68</v>
      </c>
      <c r="AS178" t="s" s="125">
        <v>68</v>
      </c>
      <c r="AT178" t="s" s="125">
        <v>68</v>
      </c>
      <c r="AU178" t="s" s="125">
        <v>68</v>
      </c>
      <c r="AV178" t="s" s="125">
        <v>68</v>
      </c>
      <c r="AW178" t="s" s="125">
        <v>68</v>
      </c>
      <c r="AX178" t="s" s="125">
        <v>68</v>
      </c>
      <c r="AY178" t="s" s="125">
        <v>68</v>
      </c>
      <c r="AZ178" t="s" s="125">
        <v>68</v>
      </c>
      <c r="BA178" t="s" s="125">
        <v>68</v>
      </c>
      <c r="BB178" t="s" s="125">
        <v>68</v>
      </c>
    </row>
    <row r="179" spans="2:54" ht="24">
      <c r="B179" s="145">
        <v>178</v>
      </c>
      <c r="C179" t="s" s="127">
        <v>1271</v>
      </c>
      <c r="D179" t="s" s="38">
        <v>1819</v>
      </c>
      <c r="E179" t="s" s="125">
        <v>68</v>
      </c>
      <c r="F179" t="s" s="125">
        <v>68</v>
      </c>
      <c r="G179" t="s" s="125">
        <v>68</v>
      </c>
      <c r="H179" t="s" s="125">
        <v>68</v>
      </c>
      <c r="I179" t="s" s="125">
        <v>68</v>
      </c>
      <c r="J179" t="s" s="125">
        <v>68</v>
      </c>
      <c r="K179" t="s" s="125">
        <v>68</v>
      </c>
      <c r="L179" t="s" s="125">
        <v>68</v>
      </c>
      <c r="M179" t="s" s="125">
        <v>68</v>
      </c>
      <c r="N179" t="s" s="125">
        <v>68</v>
      </c>
      <c r="O179" t="s" s="125">
        <v>68</v>
      </c>
      <c r="P179" t="s" s="125">
        <v>68</v>
      </c>
      <c r="Q179" t="s" s="125">
        <v>68</v>
      </c>
      <c r="R179" t="s" s="125">
        <v>68</v>
      </c>
      <c r="S179" t="s" s="125">
        <v>68</v>
      </c>
      <c r="T179" t="s" s="125">
        <v>68</v>
      </c>
      <c r="U179" t="s" s="125">
        <v>68</v>
      </c>
      <c r="V179" t="s" s="125">
        <v>68</v>
      </c>
      <c r="W179" t="s" s="125">
        <v>68</v>
      </c>
      <c r="X179" t="s" s="125">
        <v>68</v>
      </c>
      <c r="Y179" t="s" s="125">
        <v>68</v>
      </c>
      <c r="Z179" t="s" s="125">
        <v>68</v>
      </c>
      <c r="AA179" t="s" s="125">
        <v>68</v>
      </c>
      <c r="AB179" t="s" s="125">
        <v>68</v>
      </c>
      <c r="AC179" t="s" s="125">
        <v>68</v>
      </c>
      <c r="AD179" t="s" s="125">
        <v>68</v>
      </c>
      <c r="AE179" t="s" s="125">
        <v>68</v>
      </c>
      <c r="AF179" t="s" s="125">
        <v>68</v>
      </c>
      <c r="AG179" t="s" s="125">
        <v>68</v>
      </c>
      <c r="AH179" t="s" s="125">
        <v>68</v>
      </c>
      <c r="AI179" t="s" s="125">
        <v>68</v>
      </c>
      <c r="AJ179" t="s" s="125">
        <v>68</v>
      </c>
      <c r="AK179" t="s" s="125">
        <v>68</v>
      </c>
      <c r="AL179" t="s" s="125">
        <v>68</v>
      </c>
      <c r="AM179" t="s" s="125">
        <v>68</v>
      </c>
      <c r="AN179" t="s" s="125">
        <v>68</v>
      </c>
      <c r="AO179" t="s" s="125">
        <v>68</v>
      </c>
      <c r="AP179" t="s" s="125">
        <v>68</v>
      </c>
      <c r="AQ179" t="s" s="125">
        <v>68</v>
      </c>
      <c r="AR179" t="s" s="125">
        <v>68</v>
      </c>
      <c r="AS179" t="s" s="125">
        <v>68</v>
      </c>
      <c r="AT179" t="s" s="125">
        <v>68</v>
      </c>
      <c r="AU179" t="s" s="125">
        <v>68</v>
      </c>
      <c r="AV179" t="s" s="125">
        <v>68</v>
      </c>
      <c r="AW179" t="s" s="125">
        <v>68</v>
      </c>
      <c r="AX179" t="s" s="125">
        <v>68</v>
      </c>
      <c r="AY179" t="s" s="125">
        <v>68</v>
      </c>
      <c r="AZ179" t="s" s="125">
        <v>68</v>
      </c>
      <c r="BA179" t="s" s="125">
        <v>68</v>
      </c>
      <c r="BB179" t="s" s="125">
        <v>68</v>
      </c>
    </row>
    <row r="180" spans="2:54" ht="24">
      <c r="B180" s="145">
        <v>179</v>
      </c>
      <c r="C180" t="s" s="127">
        <v>1658</v>
      </c>
      <c r="D180" t="s" s="38">
        <v>358</v>
      </c>
      <c r="E180" t="s" s="125">
        <v>68</v>
      </c>
      <c r="F180" t="s" s="125">
        <v>68</v>
      </c>
      <c r="G180" t="s" s="125">
        <v>68</v>
      </c>
      <c r="H180" t="s" s="125">
        <v>68</v>
      </c>
      <c r="I180" t="s" s="125">
        <v>68</v>
      </c>
      <c r="J180" t="s" s="125">
        <v>68</v>
      </c>
      <c r="K180" t="s" s="125">
        <v>68</v>
      </c>
      <c r="L180" t="s" s="125">
        <v>68</v>
      </c>
      <c r="M180" t="s" s="125">
        <v>68</v>
      </c>
      <c r="N180" t="s" s="125">
        <v>68</v>
      </c>
      <c r="O180" t="s" s="125">
        <v>68</v>
      </c>
      <c r="P180" t="s" s="125">
        <v>68</v>
      </c>
      <c r="Q180" t="s" s="125">
        <v>68</v>
      </c>
      <c r="R180" t="s" s="125">
        <v>68</v>
      </c>
      <c r="S180" t="s" s="125">
        <v>68</v>
      </c>
      <c r="T180" t="s" s="125">
        <v>68</v>
      </c>
      <c r="U180" t="s" s="125">
        <v>68</v>
      </c>
      <c r="V180" t="s" s="125">
        <v>68</v>
      </c>
      <c r="W180" t="s" s="125">
        <v>68</v>
      </c>
      <c r="X180" t="s" s="125">
        <v>68</v>
      </c>
      <c r="Y180" t="s" s="125">
        <v>68</v>
      </c>
      <c r="Z180" t="s" s="125">
        <v>68</v>
      </c>
      <c r="AA180" t="s" s="125">
        <v>68</v>
      </c>
      <c r="AB180" t="s" s="125">
        <v>68</v>
      </c>
      <c r="AC180" t="s" s="125">
        <v>68</v>
      </c>
      <c r="AD180" t="s" s="125">
        <v>68</v>
      </c>
      <c r="AE180" t="s" s="125">
        <v>68</v>
      </c>
      <c r="AF180" t="s" s="125">
        <v>68</v>
      </c>
      <c r="AG180" t="s" s="125">
        <v>68</v>
      </c>
      <c r="AH180" t="s" s="125">
        <v>68</v>
      </c>
      <c r="AI180" t="s" s="125">
        <v>68</v>
      </c>
      <c r="AJ180" t="s" s="125">
        <v>68</v>
      </c>
      <c r="AK180" t="s" s="125">
        <v>68</v>
      </c>
      <c r="AL180" t="s" s="125">
        <v>68</v>
      </c>
      <c r="AM180" t="s" s="125">
        <v>68</v>
      </c>
      <c r="AN180" t="s" s="125">
        <v>68</v>
      </c>
      <c r="AO180" t="s" s="125">
        <v>68</v>
      </c>
      <c r="AP180" t="s" s="125">
        <v>68</v>
      </c>
      <c r="AQ180" t="s" s="125">
        <v>68</v>
      </c>
      <c r="AR180" t="s" s="125">
        <v>68</v>
      </c>
      <c r="AS180" t="s" s="125">
        <v>68</v>
      </c>
      <c r="AT180" t="s" s="125">
        <v>68</v>
      </c>
      <c r="AU180" t="s" s="125">
        <v>68</v>
      </c>
      <c r="AV180" t="s" s="125">
        <v>68</v>
      </c>
      <c r="AW180" t="s" s="125">
        <v>68</v>
      </c>
      <c r="AX180" t="s" s="125">
        <v>68</v>
      </c>
      <c r="AY180" t="s" s="125">
        <v>68</v>
      </c>
      <c r="AZ180" t="s" s="125">
        <v>68</v>
      </c>
      <c r="BA180" t="s" s="125">
        <v>68</v>
      </c>
      <c r="BB180" t="s" s="125">
        <v>68</v>
      </c>
    </row>
    <row r="181" spans="2:54" ht="36">
      <c r="B181" s="145">
        <v>180</v>
      </c>
      <c r="C181" t="s" s="127">
        <v>528</v>
      </c>
      <c r="D181" t="s" s="38">
        <v>22</v>
      </c>
      <c r="E181" t="s" s="32">
        <v>68</v>
      </c>
      <c r="F181" t="s" s="32">
        <v>68</v>
      </c>
      <c r="G181" t="s" s="32">
        <v>68</v>
      </c>
      <c r="H181" t="s" s="32">
        <v>68</v>
      </c>
      <c r="I181" t="s" s="32">
        <v>68</v>
      </c>
      <c r="J181" t="s" s="32">
        <v>68</v>
      </c>
      <c r="K181" t="s" s="32">
        <v>68</v>
      </c>
      <c r="L181" t="s" s="32">
        <v>68</v>
      </c>
      <c r="M181" t="s" s="32">
        <v>68</v>
      </c>
      <c r="N181" t="s" s="32">
        <v>68</v>
      </c>
      <c r="O181" t="s" s="32">
        <v>68</v>
      </c>
      <c r="P181" t="s" s="32">
        <v>68</v>
      </c>
      <c r="Q181" t="s" s="32">
        <v>68</v>
      </c>
      <c r="R181" t="s" s="32">
        <v>68</v>
      </c>
      <c r="S181" t="s" s="32">
        <v>68</v>
      </c>
      <c r="T181" t="s" s="32">
        <v>68</v>
      </c>
      <c r="U181" t="s" s="32">
        <v>68</v>
      </c>
      <c r="V181" t="s" s="32">
        <v>68</v>
      </c>
      <c r="W181" t="s" s="32">
        <v>68</v>
      </c>
      <c r="X181" t="s" s="32">
        <v>68</v>
      </c>
      <c r="Y181" t="s" s="32">
        <v>68</v>
      </c>
      <c r="Z181" t="s" s="32">
        <v>68</v>
      </c>
      <c r="AA181" t="s" s="32">
        <v>68</v>
      </c>
      <c r="AB181" t="s" s="32">
        <v>68</v>
      </c>
      <c r="AC181" t="s" s="32">
        <v>68</v>
      </c>
      <c r="AD181" t="s" s="32">
        <v>68</v>
      </c>
      <c r="AE181" t="s" s="32">
        <v>68</v>
      </c>
      <c r="AF181" t="s" s="32">
        <v>68</v>
      </c>
      <c r="AG181" t="s" s="32">
        <v>68</v>
      </c>
      <c r="AH181" t="s" s="32">
        <v>68</v>
      </c>
      <c r="AI181" t="s" s="32">
        <v>68</v>
      </c>
      <c r="AJ181" t="s" s="32">
        <v>68</v>
      </c>
      <c r="AK181" t="s" s="32">
        <v>68</v>
      </c>
      <c r="AL181" t="s" s="32">
        <v>68</v>
      </c>
      <c r="AM181" t="s" s="32">
        <v>68</v>
      </c>
      <c r="AN181" t="s" s="32">
        <v>68</v>
      </c>
      <c r="AO181" t="s" s="32">
        <v>68</v>
      </c>
      <c r="AP181" t="s" s="32">
        <v>68</v>
      </c>
      <c r="AQ181" t="s" s="32">
        <v>68</v>
      </c>
      <c r="AR181" t="s" s="32">
        <v>68</v>
      </c>
      <c r="AS181" t="s" s="32">
        <v>68</v>
      </c>
      <c r="AT181" t="s" s="32">
        <v>68</v>
      </c>
      <c r="AU181" t="s" s="32">
        <v>68</v>
      </c>
      <c r="AV181" t="s" s="32">
        <v>68</v>
      </c>
      <c r="AW181" t="s" s="32">
        <v>68</v>
      </c>
      <c r="AX181" t="s" s="32">
        <v>68</v>
      </c>
      <c r="AY181" t="s" s="32">
        <v>68</v>
      </c>
      <c r="AZ181" t="s" s="32">
        <v>68</v>
      </c>
      <c r="BA181" t="s" s="32">
        <v>68</v>
      </c>
      <c r="BB181" t="s" s="32">
        <v>68</v>
      </c>
    </row>
    <row r="182" spans="2:54" ht="60">
      <c r="B182" s="145">
        <v>181</v>
      </c>
      <c r="C182" t="s" s="127">
        <v>575</v>
      </c>
      <c r="D182" t="s" s="38">
        <v>1172</v>
      </c>
      <c r="E182" t="s" s="32">
        <v>68</v>
      </c>
      <c r="F182" t="s" s="32">
        <v>68</v>
      </c>
      <c r="G182" t="s" s="32">
        <v>68</v>
      </c>
      <c r="H182" t="s" s="32">
        <v>68</v>
      </c>
      <c r="I182" t="s" s="32">
        <v>68</v>
      </c>
      <c r="J182" t="s" s="32">
        <v>68</v>
      </c>
      <c r="K182" t="s" s="32">
        <v>68</v>
      </c>
      <c r="L182" t="s" s="32">
        <v>68</v>
      </c>
      <c r="M182" t="s" s="32">
        <v>68</v>
      </c>
      <c r="N182" t="s" s="32">
        <v>68</v>
      </c>
      <c r="O182" t="s" s="32">
        <v>68</v>
      </c>
      <c r="P182" t="s" s="32">
        <v>68</v>
      </c>
      <c r="Q182" t="s" s="32">
        <v>68</v>
      </c>
      <c r="R182" t="s" s="32">
        <v>68</v>
      </c>
      <c r="S182" t="s" s="32">
        <v>68</v>
      </c>
      <c r="T182" t="s" s="32">
        <v>68</v>
      </c>
      <c r="U182" t="s" s="32">
        <v>68</v>
      </c>
      <c r="V182" t="s" s="32">
        <v>68</v>
      </c>
      <c r="W182" t="s" s="32">
        <v>68</v>
      </c>
      <c r="X182" t="s" s="32">
        <v>68</v>
      </c>
      <c r="Y182" t="s" s="32">
        <v>68</v>
      </c>
      <c r="Z182" t="s" s="32">
        <v>68</v>
      </c>
      <c r="AA182" t="s" s="32">
        <v>68</v>
      </c>
      <c r="AB182" t="s" s="32">
        <v>68</v>
      </c>
      <c r="AC182" t="s" s="32">
        <v>68</v>
      </c>
      <c r="AD182" t="s" s="32">
        <v>68</v>
      </c>
      <c r="AE182" t="s" s="32">
        <v>68</v>
      </c>
      <c r="AF182" t="s" s="32">
        <v>68</v>
      </c>
      <c r="AG182" t="s" s="32">
        <v>68</v>
      </c>
      <c r="AH182" t="s" s="32">
        <v>68</v>
      </c>
      <c r="AI182" t="s" s="32">
        <v>68</v>
      </c>
      <c r="AJ182" t="s" s="32">
        <v>68</v>
      </c>
      <c r="AK182" t="s" s="32">
        <v>68</v>
      </c>
      <c r="AL182" t="s" s="32">
        <v>68</v>
      </c>
      <c r="AM182" t="s" s="32">
        <v>68</v>
      </c>
      <c r="AN182" t="s" s="32">
        <v>68</v>
      </c>
      <c r="AO182" t="s" s="32">
        <v>68</v>
      </c>
      <c r="AP182" t="s" s="32">
        <v>68</v>
      </c>
      <c r="AQ182" t="s" s="32">
        <v>68</v>
      </c>
      <c r="AR182" t="s" s="32">
        <v>68</v>
      </c>
      <c r="AS182" t="s" s="32">
        <v>68</v>
      </c>
      <c r="AT182" t="s" s="32">
        <v>68</v>
      </c>
      <c r="AU182" t="s" s="32">
        <v>68</v>
      </c>
      <c r="AV182" t="s" s="32">
        <v>68</v>
      </c>
      <c r="AW182" t="s" s="32">
        <v>68</v>
      </c>
      <c r="AX182" t="s" s="32">
        <v>68</v>
      </c>
      <c r="AY182" t="s" s="32">
        <v>68</v>
      </c>
      <c r="AZ182" t="s" s="32">
        <v>68</v>
      </c>
      <c r="BA182" t="s" s="32">
        <v>68</v>
      </c>
      <c r="BB182" t="s" s="32">
        <v>68</v>
      </c>
    </row>
    <row r="183" spans="2:54" ht="24">
      <c r="B183" s="145">
        <v>182</v>
      </c>
      <c r="C183" t="s" s="127">
        <v>1414</v>
      </c>
      <c r="D183" t="s" s="38">
        <v>1089</v>
      </c>
      <c r="E183" t="s" s="154">
        <v>68</v>
      </c>
      <c r="F183" t="s" s="154">
        <v>68</v>
      </c>
      <c r="G183" t="s" s="154">
        <v>68</v>
      </c>
      <c r="H183" t="s" s="154">
        <v>68</v>
      </c>
      <c r="I183" t="s" s="154">
        <v>68</v>
      </c>
      <c r="J183" t="s" s="154">
        <v>68</v>
      </c>
      <c r="K183" t="s" s="154">
        <v>68</v>
      </c>
      <c r="L183" t="s" s="154">
        <v>68</v>
      </c>
      <c r="M183" t="s" s="154">
        <v>68</v>
      </c>
      <c r="N183" t="s" s="154">
        <v>68</v>
      </c>
      <c r="O183" t="s" s="154">
        <v>68</v>
      </c>
      <c r="P183" t="s" s="154">
        <v>68</v>
      </c>
      <c r="Q183" t="s" s="154">
        <v>68</v>
      </c>
      <c r="R183" t="s" s="154">
        <v>68</v>
      </c>
      <c r="S183" t="s" s="154">
        <v>68</v>
      </c>
      <c r="T183" t="s" s="154">
        <v>68</v>
      </c>
      <c r="U183" t="s" s="154">
        <v>68</v>
      </c>
      <c r="V183" t="s" s="154">
        <v>68</v>
      </c>
      <c r="W183" t="s" s="154">
        <v>68</v>
      </c>
      <c r="X183" t="s" s="154">
        <v>68</v>
      </c>
      <c r="Y183" t="s" s="154">
        <v>68</v>
      </c>
      <c r="Z183" t="s" s="154">
        <v>68</v>
      </c>
      <c r="AA183" t="s" s="154">
        <v>68</v>
      </c>
      <c r="AB183" t="s" s="154">
        <v>68</v>
      </c>
      <c r="AC183" t="s" s="154">
        <v>68</v>
      </c>
      <c r="AD183" t="s" s="154">
        <v>68</v>
      </c>
      <c r="AE183" t="s" s="154">
        <v>68</v>
      </c>
      <c r="AF183" t="s" s="154">
        <v>68</v>
      </c>
      <c r="AG183" t="s" s="154">
        <v>68</v>
      </c>
      <c r="AH183" t="s" s="154">
        <v>68</v>
      </c>
      <c r="AI183" t="s" s="154">
        <v>68</v>
      </c>
      <c r="AJ183" t="s" s="154">
        <v>68</v>
      </c>
      <c r="AK183" t="s" s="154">
        <v>68</v>
      </c>
      <c r="AL183" t="s" s="154">
        <v>68</v>
      </c>
      <c r="AM183" t="s" s="154">
        <v>68</v>
      </c>
      <c r="AN183" t="s" s="154">
        <v>68</v>
      </c>
      <c r="AO183" t="s" s="154">
        <v>68</v>
      </c>
      <c r="AP183" t="s" s="154">
        <v>68</v>
      </c>
      <c r="AQ183" t="s" s="154">
        <v>68</v>
      </c>
      <c r="AR183" t="s" s="154">
        <v>68</v>
      </c>
      <c r="AS183" t="s" s="154">
        <v>68</v>
      </c>
      <c r="AT183" t="s" s="154">
        <v>68</v>
      </c>
      <c r="AU183" t="s" s="154">
        <v>68</v>
      </c>
      <c r="AV183" t="s" s="154">
        <v>68</v>
      </c>
      <c r="AW183" t="s" s="154">
        <v>68</v>
      </c>
      <c r="AX183" t="s" s="154">
        <v>68</v>
      </c>
      <c r="AY183" t="s" s="154">
        <v>68</v>
      </c>
      <c r="AZ183" t="s" s="154">
        <v>68</v>
      </c>
      <c r="BA183" t="s" s="154">
        <v>68</v>
      </c>
      <c r="BB183" t="s" s="154">
        <v>68</v>
      </c>
    </row>
    <row r="184" spans="2:54" ht="24">
      <c r="B184" s="145">
        <v>183</v>
      </c>
      <c r="C184" t="s" s="127">
        <v>1808</v>
      </c>
      <c r="D184" t="s" s="38">
        <v>474</v>
      </c>
      <c r="E184" t="s" s="32">
        <v>68</v>
      </c>
      <c r="F184" t="s" s="32">
        <v>68</v>
      </c>
      <c r="G184" t="s" s="32">
        <v>68</v>
      </c>
      <c r="H184" t="s" s="32">
        <v>68</v>
      </c>
      <c r="I184" t="s" s="32">
        <v>68</v>
      </c>
      <c r="J184" t="s" s="32">
        <v>68</v>
      </c>
      <c r="K184" t="s" s="32">
        <v>68</v>
      </c>
      <c r="L184" t="s" s="32">
        <v>68</v>
      </c>
      <c r="M184" t="s" s="32">
        <v>68</v>
      </c>
      <c r="N184" t="s" s="32">
        <v>68</v>
      </c>
      <c r="O184" t="s" s="32">
        <v>68</v>
      </c>
      <c r="P184" t="s" s="32">
        <v>68</v>
      </c>
      <c r="Q184" t="s" s="32">
        <v>68</v>
      </c>
      <c r="R184" t="s" s="32">
        <v>68</v>
      </c>
      <c r="S184" t="s" s="32">
        <v>68</v>
      </c>
      <c r="T184" t="s" s="32">
        <v>68</v>
      </c>
      <c r="U184" t="s" s="32">
        <v>68</v>
      </c>
      <c r="V184" t="s" s="32">
        <v>68</v>
      </c>
      <c r="W184" t="s" s="32">
        <v>68</v>
      </c>
      <c r="X184" t="s" s="32">
        <v>68</v>
      </c>
      <c r="Y184" t="s" s="32">
        <v>68</v>
      </c>
      <c r="Z184" t="s" s="32">
        <v>68</v>
      </c>
      <c r="AA184" t="s" s="32">
        <v>68</v>
      </c>
      <c r="AB184" t="s" s="32">
        <v>68</v>
      </c>
      <c r="AC184" t="s" s="32">
        <v>68</v>
      </c>
      <c r="AD184" t="s" s="32">
        <v>68</v>
      </c>
      <c r="AE184" t="s" s="32">
        <v>68</v>
      </c>
      <c r="AF184" t="s" s="32">
        <v>68</v>
      </c>
      <c r="AG184" t="s" s="32">
        <v>68</v>
      </c>
      <c r="AH184" t="s" s="32">
        <v>68</v>
      </c>
      <c r="AI184" t="s" s="32">
        <v>68</v>
      </c>
      <c r="AJ184" t="s" s="32">
        <v>68</v>
      </c>
      <c r="AK184" t="s" s="32">
        <v>68</v>
      </c>
      <c r="AL184" t="s" s="32">
        <v>68</v>
      </c>
      <c r="AM184" t="s" s="32">
        <v>68</v>
      </c>
      <c r="AN184" t="s" s="32">
        <v>68</v>
      </c>
      <c r="AO184" t="s" s="32">
        <v>68</v>
      </c>
      <c r="AP184" t="s" s="32">
        <v>68</v>
      </c>
      <c r="AQ184" t="s" s="32">
        <v>68</v>
      </c>
      <c r="AR184" t="s" s="32">
        <v>68</v>
      </c>
      <c r="AS184" t="s" s="32">
        <v>68</v>
      </c>
      <c r="AT184" t="s" s="32">
        <v>68</v>
      </c>
      <c r="AU184" t="s" s="32">
        <v>68</v>
      </c>
      <c r="AV184" t="s" s="32">
        <v>68</v>
      </c>
      <c r="AW184" t="s" s="32">
        <v>68</v>
      </c>
      <c r="AX184" t="s" s="32">
        <v>68</v>
      </c>
      <c r="AY184" t="s" s="32">
        <v>68</v>
      </c>
      <c r="AZ184" t="s" s="32">
        <v>68</v>
      </c>
      <c r="BA184" t="s" s="32">
        <v>68</v>
      </c>
      <c r="BB184" t="s" s="32">
        <v>68</v>
      </c>
    </row>
    <row r="185" spans="2:54" ht="24">
      <c r="B185" s="145">
        <v>184</v>
      </c>
      <c r="C185" t="s" s="127">
        <v>783</v>
      </c>
      <c r="D185" t="s" s="38">
        <v>1951</v>
      </c>
      <c r="E185" t="s" s="154">
        <v>68</v>
      </c>
      <c r="F185" t="s" s="154">
        <v>68</v>
      </c>
      <c r="G185" t="s" s="154">
        <v>68</v>
      </c>
      <c r="H185" t="s" s="154">
        <v>68</v>
      </c>
      <c r="I185" t="s" s="154">
        <v>68</v>
      </c>
      <c r="J185" t="s" s="154">
        <v>68</v>
      </c>
      <c r="K185" t="s" s="154">
        <v>68</v>
      </c>
      <c r="L185" t="s" s="154">
        <v>68</v>
      </c>
      <c r="M185" t="s" s="154">
        <v>68</v>
      </c>
      <c r="N185" t="s" s="154">
        <v>68</v>
      </c>
      <c r="O185" t="s" s="154">
        <v>68</v>
      </c>
      <c r="P185" t="s" s="154">
        <v>68</v>
      </c>
      <c r="Q185" t="s" s="154">
        <v>68</v>
      </c>
      <c r="R185" t="s" s="154">
        <v>68</v>
      </c>
      <c r="S185" t="s" s="154">
        <v>68</v>
      </c>
      <c r="T185" t="s" s="154">
        <v>68</v>
      </c>
      <c r="U185" t="s" s="154">
        <v>68</v>
      </c>
      <c r="V185" t="s" s="154">
        <v>68</v>
      </c>
      <c r="W185" t="s" s="154">
        <v>68</v>
      </c>
      <c r="X185" t="s" s="154">
        <v>68</v>
      </c>
      <c r="Y185" t="s" s="154">
        <v>68</v>
      </c>
      <c r="Z185" t="s" s="154">
        <v>68</v>
      </c>
      <c r="AA185" t="s" s="154">
        <v>68</v>
      </c>
      <c r="AB185" t="s" s="154">
        <v>68</v>
      </c>
      <c r="AC185" t="s" s="154">
        <v>68</v>
      </c>
      <c r="AD185" t="s" s="154">
        <v>68</v>
      </c>
      <c r="AE185" t="s" s="154">
        <v>68</v>
      </c>
      <c r="AF185" t="s" s="154">
        <v>68</v>
      </c>
      <c r="AG185" t="s" s="154">
        <v>68</v>
      </c>
      <c r="AH185" t="s" s="154">
        <v>68</v>
      </c>
      <c r="AI185" t="s" s="154">
        <v>68</v>
      </c>
      <c r="AJ185" t="s" s="154">
        <v>68</v>
      </c>
      <c r="AK185" t="s" s="154">
        <v>68</v>
      </c>
      <c r="AL185" t="s" s="154">
        <v>68</v>
      </c>
      <c r="AM185" t="s" s="154">
        <v>68</v>
      </c>
      <c r="AN185" t="s" s="154">
        <v>68</v>
      </c>
      <c r="AO185" t="s" s="154">
        <v>68</v>
      </c>
      <c r="AP185" t="s" s="154">
        <v>68</v>
      </c>
      <c r="AQ185" t="s" s="154">
        <v>68</v>
      </c>
      <c r="AR185" t="s" s="154">
        <v>68</v>
      </c>
      <c r="AS185" t="s" s="154">
        <v>68</v>
      </c>
      <c r="AT185" t="s" s="154">
        <v>68</v>
      </c>
      <c r="AU185" t="s" s="154">
        <v>68</v>
      </c>
      <c r="AV185" t="s" s="154">
        <v>68</v>
      </c>
      <c r="AW185" t="s" s="154">
        <v>68</v>
      </c>
      <c r="AX185" t="s" s="154">
        <v>68</v>
      </c>
      <c r="AY185" t="s" s="154">
        <v>68</v>
      </c>
      <c r="AZ185" t="s" s="154">
        <v>68</v>
      </c>
      <c r="BA185" t="s" s="154">
        <v>68</v>
      </c>
      <c r="BB185" t="s" s="154">
        <v>68</v>
      </c>
    </row>
    <row r="186" spans="2:54" ht="24">
      <c r="B186" s="145">
        <v>185</v>
      </c>
      <c r="C186" t="s" s="127">
        <v>1814</v>
      </c>
      <c r="D186" t="s" s="38">
        <v>1952</v>
      </c>
      <c r="E186" t="s" s="125">
        <v>68</v>
      </c>
      <c r="F186" t="s" s="125">
        <v>68</v>
      </c>
      <c r="G186" t="s" s="125">
        <v>68</v>
      </c>
      <c r="H186" t="s" s="125">
        <v>68</v>
      </c>
      <c r="I186" t="s" s="125">
        <v>68</v>
      </c>
      <c r="J186" t="s" s="125">
        <v>68</v>
      </c>
      <c r="K186" t="s" s="125">
        <v>68</v>
      </c>
      <c r="L186" t="s" s="125">
        <v>68</v>
      </c>
      <c r="M186" t="s" s="125">
        <v>68</v>
      </c>
      <c r="N186" t="s" s="125">
        <v>68</v>
      </c>
      <c r="O186" t="s" s="125">
        <v>68</v>
      </c>
      <c r="P186" t="s" s="125">
        <v>68</v>
      </c>
      <c r="Q186" t="s" s="125">
        <v>68</v>
      </c>
      <c r="R186" t="s" s="125">
        <v>68</v>
      </c>
      <c r="S186" t="s" s="125">
        <v>68</v>
      </c>
      <c r="T186" t="s" s="125">
        <v>68</v>
      </c>
      <c r="U186" t="s" s="125">
        <v>68</v>
      </c>
      <c r="V186" t="s" s="125">
        <v>68</v>
      </c>
      <c r="W186" t="s" s="125">
        <v>68</v>
      </c>
      <c r="X186" t="s" s="125">
        <v>68</v>
      </c>
      <c r="Y186" t="s" s="125">
        <v>68</v>
      </c>
      <c r="Z186" t="s" s="125">
        <v>68</v>
      </c>
      <c r="AA186" t="s" s="125">
        <v>68</v>
      </c>
      <c r="AB186" t="s" s="125">
        <v>68</v>
      </c>
      <c r="AC186" t="s" s="125">
        <v>68</v>
      </c>
      <c r="AD186" t="s" s="125">
        <v>68</v>
      </c>
      <c r="AE186" t="s" s="125">
        <v>68</v>
      </c>
      <c r="AF186" t="s" s="125">
        <v>68</v>
      </c>
      <c r="AG186" t="s" s="125">
        <v>68</v>
      </c>
      <c r="AH186" t="s" s="125">
        <v>68</v>
      </c>
      <c r="AI186" t="s" s="125">
        <v>68</v>
      </c>
      <c r="AJ186" t="s" s="125">
        <v>68</v>
      </c>
      <c r="AK186" t="s" s="125">
        <v>68</v>
      </c>
      <c r="AL186" t="s" s="125">
        <v>68</v>
      </c>
      <c r="AM186" t="s" s="125">
        <v>68</v>
      </c>
      <c r="AN186" t="s" s="125">
        <v>68</v>
      </c>
      <c r="AO186" t="s" s="125">
        <v>68</v>
      </c>
      <c r="AP186" t="s" s="125">
        <v>68</v>
      </c>
      <c r="AQ186" t="s" s="125">
        <v>68</v>
      </c>
      <c r="AR186" t="s" s="125">
        <v>68</v>
      </c>
      <c r="AS186" t="s" s="125">
        <v>68</v>
      </c>
      <c r="AT186" t="s" s="125">
        <v>68</v>
      </c>
      <c r="AU186" t="s" s="125">
        <v>68</v>
      </c>
      <c r="AV186" t="s" s="125">
        <v>68</v>
      </c>
      <c r="AW186" t="s" s="125">
        <v>68</v>
      </c>
      <c r="AX186" t="s" s="125">
        <v>68</v>
      </c>
      <c r="AY186" t="s" s="125">
        <v>68</v>
      </c>
      <c r="AZ186" t="s" s="125">
        <v>68</v>
      </c>
      <c r="BA186" t="s" s="125">
        <v>68</v>
      </c>
      <c r="BB186" t="s" s="125">
        <v>68</v>
      </c>
    </row>
    <row r="187" spans="2:54" ht="24">
      <c r="B187" s="145">
        <v>186</v>
      </c>
      <c r="C187" t="s" s="127">
        <v>1216</v>
      </c>
      <c r="D187" t="s" s="38">
        <v>1953</v>
      </c>
      <c r="E187" t="s" s="125">
        <v>68</v>
      </c>
      <c r="F187" t="s" s="125">
        <v>68</v>
      </c>
      <c r="G187" t="s" s="125">
        <v>68</v>
      </c>
      <c r="H187" t="s" s="125">
        <v>68</v>
      </c>
      <c r="I187" t="s" s="125">
        <v>68</v>
      </c>
      <c r="J187" t="s" s="125">
        <v>68</v>
      </c>
      <c r="K187" t="s" s="125">
        <v>68</v>
      </c>
      <c r="L187" t="s" s="125">
        <v>68</v>
      </c>
      <c r="M187" t="s" s="125">
        <v>68</v>
      </c>
      <c r="N187" t="s" s="125">
        <v>68</v>
      </c>
      <c r="O187" t="s" s="125">
        <v>68</v>
      </c>
      <c r="P187" t="s" s="125">
        <v>68</v>
      </c>
      <c r="Q187" t="s" s="125">
        <v>68</v>
      </c>
      <c r="R187" t="s" s="125">
        <v>68</v>
      </c>
      <c r="S187" t="s" s="125">
        <v>68</v>
      </c>
      <c r="T187" t="s" s="125">
        <v>68</v>
      </c>
      <c r="U187" t="s" s="125">
        <v>68</v>
      </c>
      <c r="V187" t="s" s="125">
        <v>68</v>
      </c>
      <c r="W187" t="s" s="125">
        <v>68</v>
      </c>
      <c r="X187" t="s" s="125">
        <v>68</v>
      </c>
      <c r="Y187" t="s" s="125">
        <v>68</v>
      </c>
      <c r="Z187" t="s" s="125">
        <v>68</v>
      </c>
      <c r="AA187" t="s" s="125">
        <v>68</v>
      </c>
      <c r="AB187" t="s" s="125">
        <v>68</v>
      </c>
      <c r="AC187" t="s" s="125">
        <v>68</v>
      </c>
      <c r="AD187" t="s" s="125">
        <v>68</v>
      </c>
      <c r="AE187" t="s" s="125">
        <v>68</v>
      </c>
      <c r="AF187" t="s" s="125">
        <v>68</v>
      </c>
      <c r="AG187" t="s" s="125">
        <v>68</v>
      </c>
      <c r="AH187" t="s" s="125">
        <v>68</v>
      </c>
      <c r="AI187" t="s" s="125">
        <v>68</v>
      </c>
      <c r="AJ187" t="s" s="125">
        <v>68</v>
      </c>
      <c r="AK187" t="s" s="125">
        <v>68</v>
      </c>
      <c r="AL187" t="s" s="125">
        <v>68</v>
      </c>
      <c r="AM187" t="s" s="125">
        <v>68</v>
      </c>
      <c r="AN187" t="s" s="125">
        <v>68</v>
      </c>
      <c r="AO187" t="s" s="125">
        <v>68</v>
      </c>
      <c r="AP187" t="s" s="125">
        <v>68</v>
      </c>
      <c r="AQ187" t="s" s="125">
        <v>68</v>
      </c>
      <c r="AR187" t="s" s="125">
        <v>68</v>
      </c>
      <c r="AS187" t="s" s="125">
        <v>68</v>
      </c>
      <c r="AT187" t="s" s="125">
        <v>68</v>
      </c>
      <c r="AU187" t="s" s="125">
        <v>68</v>
      </c>
      <c r="AV187" t="s" s="125">
        <v>68</v>
      </c>
      <c r="AW187" t="s" s="125">
        <v>68</v>
      </c>
      <c r="AX187" t="s" s="125">
        <v>68</v>
      </c>
      <c r="AY187" t="s" s="125">
        <v>68</v>
      </c>
      <c r="AZ187" t="s" s="125">
        <v>68</v>
      </c>
      <c r="BA187" t="s" s="125">
        <v>68</v>
      </c>
      <c r="BB187" t="s" s="125">
        <v>68</v>
      </c>
    </row>
    <row r="188" spans="2:54" ht="24">
      <c r="B188" s="145">
        <v>187</v>
      </c>
      <c r="C188" t="s" s="127">
        <v>1530</v>
      </c>
      <c r="D188" t="s" s="38">
        <v>1954</v>
      </c>
      <c r="E188" t="s" s="125">
        <v>68</v>
      </c>
      <c r="F188" t="s" s="125">
        <v>68</v>
      </c>
      <c r="G188" t="s" s="125">
        <v>68</v>
      </c>
      <c r="H188" t="s" s="125">
        <v>68</v>
      </c>
      <c r="I188" t="s" s="125">
        <v>68</v>
      </c>
      <c r="J188" t="s" s="125">
        <v>68</v>
      </c>
      <c r="K188" t="s" s="125">
        <v>68</v>
      </c>
      <c r="L188" t="s" s="125">
        <v>68</v>
      </c>
      <c r="M188" t="s" s="125">
        <v>68</v>
      </c>
      <c r="N188" t="s" s="125">
        <v>68</v>
      </c>
      <c r="O188" t="s" s="125">
        <v>68</v>
      </c>
      <c r="P188" t="s" s="125">
        <v>68</v>
      </c>
      <c r="Q188" t="s" s="125">
        <v>68</v>
      </c>
      <c r="R188" t="s" s="125">
        <v>68</v>
      </c>
      <c r="S188" t="s" s="125">
        <v>68</v>
      </c>
      <c r="T188" t="s" s="125">
        <v>68</v>
      </c>
      <c r="U188" t="s" s="125">
        <v>68</v>
      </c>
      <c r="V188" t="s" s="125">
        <v>68</v>
      </c>
      <c r="W188" t="s" s="125">
        <v>68</v>
      </c>
      <c r="X188" t="s" s="125">
        <v>68</v>
      </c>
      <c r="Y188" t="s" s="125">
        <v>68</v>
      </c>
      <c r="Z188" t="s" s="125">
        <v>68</v>
      </c>
      <c r="AA188" t="s" s="125">
        <v>68</v>
      </c>
      <c r="AB188" t="s" s="125">
        <v>68</v>
      </c>
      <c r="AC188" t="s" s="125">
        <v>68</v>
      </c>
      <c r="AD188" t="s" s="125">
        <v>68</v>
      </c>
      <c r="AE188" t="s" s="125">
        <v>68</v>
      </c>
      <c r="AF188" t="s" s="125">
        <v>68</v>
      </c>
      <c r="AG188" t="s" s="125">
        <v>68</v>
      </c>
      <c r="AH188" t="s" s="125">
        <v>68</v>
      </c>
      <c r="AI188" t="s" s="125">
        <v>68</v>
      </c>
      <c r="AJ188" t="s" s="125">
        <v>68</v>
      </c>
      <c r="AK188" t="s" s="125">
        <v>68</v>
      </c>
      <c r="AL188" t="s" s="125">
        <v>68</v>
      </c>
      <c r="AM188" t="s" s="125">
        <v>68</v>
      </c>
      <c r="AN188" t="s" s="125">
        <v>68</v>
      </c>
      <c r="AO188" t="s" s="125">
        <v>68</v>
      </c>
      <c r="AP188" t="s" s="125">
        <v>68</v>
      </c>
      <c r="AQ188" t="s" s="125">
        <v>68</v>
      </c>
      <c r="AR188" t="s" s="125">
        <v>68</v>
      </c>
      <c r="AS188" t="s" s="125">
        <v>68</v>
      </c>
      <c r="AT188" t="s" s="125">
        <v>68</v>
      </c>
      <c r="AU188" t="s" s="125">
        <v>68</v>
      </c>
      <c r="AV188" t="s" s="125">
        <v>68</v>
      </c>
      <c r="AW188" t="s" s="125">
        <v>68</v>
      </c>
      <c r="AX188" t="s" s="125">
        <v>68</v>
      </c>
      <c r="AY188" t="s" s="125">
        <v>68</v>
      </c>
      <c r="AZ188" t="s" s="125">
        <v>68</v>
      </c>
      <c r="BA188" t="s" s="125">
        <v>68</v>
      </c>
      <c r="BB188" t="s" s="125">
        <v>68</v>
      </c>
    </row>
    <row r="189" spans="2:54" ht="24">
      <c r="B189" s="145">
        <v>188</v>
      </c>
      <c r="C189" t="s" s="127">
        <v>507</v>
      </c>
      <c r="D189" t="s" s="38">
        <v>1955</v>
      </c>
      <c r="E189" t="s" s="125">
        <v>68</v>
      </c>
      <c r="F189" t="s" s="125">
        <v>68</v>
      </c>
      <c r="G189" t="s" s="125">
        <v>68</v>
      </c>
      <c r="H189" t="s" s="125">
        <v>68</v>
      </c>
      <c r="I189" t="s" s="125">
        <v>68</v>
      </c>
      <c r="J189" t="s" s="125">
        <v>68</v>
      </c>
      <c r="K189" t="s" s="125">
        <v>68</v>
      </c>
      <c r="L189" t="s" s="125">
        <v>68</v>
      </c>
      <c r="M189" t="s" s="125">
        <v>68</v>
      </c>
      <c r="N189" t="s" s="125">
        <v>68</v>
      </c>
      <c r="O189" t="s" s="125">
        <v>68</v>
      </c>
      <c r="P189" t="s" s="125">
        <v>68</v>
      </c>
      <c r="Q189" t="s" s="125">
        <v>68</v>
      </c>
      <c r="R189" t="s" s="125">
        <v>68</v>
      </c>
      <c r="S189" t="s" s="125">
        <v>68</v>
      </c>
      <c r="T189" t="s" s="125">
        <v>68</v>
      </c>
      <c r="U189" t="s" s="125">
        <v>68</v>
      </c>
      <c r="V189" t="s" s="125">
        <v>68</v>
      </c>
      <c r="W189" t="s" s="125">
        <v>68</v>
      </c>
      <c r="X189" t="s" s="125">
        <v>68</v>
      </c>
      <c r="Y189" t="s" s="125">
        <v>68</v>
      </c>
      <c r="Z189" t="s" s="125">
        <v>68</v>
      </c>
      <c r="AA189" t="s" s="125">
        <v>68</v>
      </c>
      <c r="AB189" t="s" s="125">
        <v>68</v>
      </c>
      <c r="AC189" t="s" s="125">
        <v>68</v>
      </c>
      <c r="AD189" t="s" s="125">
        <v>68</v>
      </c>
      <c r="AE189" t="s" s="125">
        <v>68</v>
      </c>
      <c r="AF189" t="s" s="125">
        <v>68</v>
      </c>
      <c r="AG189" t="s" s="125">
        <v>68</v>
      </c>
      <c r="AH189" t="s" s="125">
        <v>68</v>
      </c>
      <c r="AI189" t="s" s="125">
        <v>68</v>
      </c>
      <c r="AJ189" t="s" s="125">
        <v>68</v>
      </c>
      <c r="AK189" t="s" s="125">
        <v>68</v>
      </c>
      <c r="AL189" t="s" s="125">
        <v>68</v>
      </c>
      <c r="AM189" t="s" s="125">
        <v>68</v>
      </c>
      <c r="AN189" t="s" s="125">
        <v>68</v>
      </c>
      <c r="AO189" t="s" s="125">
        <v>68</v>
      </c>
      <c r="AP189" t="s" s="125">
        <v>68</v>
      </c>
      <c r="AQ189" t="s" s="125">
        <v>68</v>
      </c>
      <c r="AR189" t="s" s="125">
        <v>68</v>
      </c>
      <c r="AS189" t="s" s="125">
        <v>68</v>
      </c>
      <c r="AT189" t="s" s="125">
        <v>68</v>
      </c>
      <c r="AU189" t="s" s="125">
        <v>68</v>
      </c>
      <c r="AV189" t="s" s="125">
        <v>68</v>
      </c>
      <c r="AW189" t="s" s="125">
        <v>68</v>
      </c>
      <c r="AX189" t="s" s="125">
        <v>68</v>
      </c>
      <c r="AY189" t="s" s="125">
        <v>68</v>
      </c>
      <c r="AZ189" t="s" s="125">
        <v>68</v>
      </c>
      <c r="BA189" t="s" s="125">
        <v>68</v>
      </c>
      <c r="BB189" t="s" s="125">
        <v>68</v>
      </c>
    </row>
    <row r="190" spans="2:54" ht="24">
      <c r="B190" s="145">
        <v>189</v>
      </c>
      <c r="C190" t="s" s="127">
        <v>1459</v>
      </c>
      <c r="D190" t="s" s="38">
        <v>1956</v>
      </c>
      <c r="E190" t="s" s="154">
        <v>68</v>
      </c>
      <c r="F190" t="s" s="154">
        <v>68</v>
      </c>
      <c r="G190" t="s" s="154">
        <v>68</v>
      </c>
      <c r="H190" t="s" s="154">
        <v>68</v>
      </c>
      <c r="I190" t="s" s="154">
        <v>68</v>
      </c>
      <c r="J190" t="s" s="154">
        <v>68</v>
      </c>
      <c r="K190" t="s" s="154">
        <v>68</v>
      </c>
      <c r="L190" t="s" s="154">
        <v>68</v>
      </c>
      <c r="M190" t="s" s="154">
        <v>68</v>
      </c>
      <c r="N190" t="s" s="154">
        <v>68</v>
      </c>
      <c r="O190" t="s" s="154">
        <v>68</v>
      </c>
      <c r="P190" t="s" s="154">
        <v>68</v>
      </c>
      <c r="Q190" t="s" s="154">
        <v>68</v>
      </c>
      <c r="R190" t="s" s="154">
        <v>68</v>
      </c>
      <c r="S190" t="s" s="154">
        <v>68</v>
      </c>
      <c r="T190" t="s" s="154">
        <v>68</v>
      </c>
      <c r="U190" t="s" s="154">
        <v>68</v>
      </c>
      <c r="V190" t="s" s="154">
        <v>68</v>
      </c>
      <c r="W190" t="s" s="154">
        <v>68</v>
      </c>
      <c r="X190" t="s" s="154">
        <v>68</v>
      </c>
      <c r="Y190" t="s" s="154">
        <v>68</v>
      </c>
      <c r="Z190" t="s" s="154">
        <v>68</v>
      </c>
      <c r="AA190" t="s" s="154">
        <v>68</v>
      </c>
      <c r="AB190" t="s" s="154">
        <v>68</v>
      </c>
      <c r="AC190" t="s" s="154">
        <v>68</v>
      </c>
      <c r="AD190" t="s" s="154">
        <v>68</v>
      </c>
      <c r="AE190" t="s" s="154">
        <v>68</v>
      </c>
      <c r="AF190" t="s" s="154">
        <v>68</v>
      </c>
      <c r="AG190" t="s" s="154">
        <v>68</v>
      </c>
      <c r="AH190" t="s" s="154">
        <v>68</v>
      </c>
      <c r="AI190" t="s" s="154">
        <v>68</v>
      </c>
      <c r="AJ190" t="s" s="154">
        <v>68</v>
      </c>
      <c r="AK190" t="s" s="154">
        <v>68</v>
      </c>
      <c r="AL190" t="s" s="154">
        <v>68</v>
      </c>
      <c r="AM190" t="s" s="154">
        <v>68</v>
      </c>
      <c r="AN190" t="s" s="154">
        <v>68</v>
      </c>
      <c r="AO190" t="s" s="154">
        <v>68</v>
      </c>
      <c r="AP190" t="s" s="154">
        <v>68</v>
      </c>
      <c r="AQ190" t="s" s="154">
        <v>68</v>
      </c>
      <c r="AR190" t="s" s="154">
        <v>68</v>
      </c>
      <c r="AS190" t="s" s="154">
        <v>68</v>
      </c>
      <c r="AT190" t="s" s="154">
        <v>68</v>
      </c>
      <c r="AU190" t="s" s="154">
        <v>68</v>
      </c>
      <c r="AV190" t="s" s="154">
        <v>68</v>
      </c>
      <c r="AW190" t="s" s="154">
        <v>68</v>
      </c>
      <c r="AX190" t="s" s="154">
        <v>68</v>
      </c>
      <c r="AY190" t="s" s="154">
        <v>68</v>
      </c>
      <c r="AZ190" t="s" s="154">
        <v>68</v>
      </c>
      <c r="BA190" t="s" s="154">
        <v>68</v>
      </c>
      <c r="BB190" t="s" s="154">
        <v>68</v>
      </c>
    </row>
    <row r="191" spans="2:54" ht="24">
      <c r="B191" s="145">
        <v>190</v>
      </c>
      <c r="C191" t="s" s="127">
        <v>821</v>
      </c>
      <c r="D191" t="s" s="38">
        <v>1957</v>
      </c>
      <c r="E191" t="s" s="154">
        <v>68</v>
      </c>
      <c r="F191" t="s" s="154">
        <v>68</v>
      </c>
      <c r="G191" t="s" s="154">
        <v>68</v>
      </c>
      <c r="H191" t="s" s="154">
        <v>68</v>
      </c>
      <c r="I191" t="s" s="154">
        <v>68</v>
      </c>
      <c r="J191" t="s" s="154">
        <v>68</v>
      </c>
      <c r="K191" t="s" s="154">
        <v>68</v>
      </c>
      <c r="L191" t="s" s="154">
        <v>68</v>
      </c>
      <c r="M191" t="s" s="154">
        <v>68</v>
      </c>
      <c r="N191" t="s" s="154">
        <v>68</v>
      </c>
      <c r="O191" t="s" s="154">
        <v>68</v>
      </c>
      <c r="P191" t="s" s="154">
        <v>68</v>
      </c>
      <c r="Q191" t="s" s="154">
        <v>68</v>
      </c>
      <c r="R191" t="s" s="154">
        <v>68</v>
      </c>
      <c r="S191" t="s" s="154">
        <v>68</v>
      </c>
      <c r="T191" t="s" s="154">
        <v>68</v>
      </c>
      <c r="U191" t="s" s="154">
        <v>68</v>
      </c>
      <c r="V191" t="s" s="154">
        <v>68</v>
      </c>
      <c r="W191" t="s" s="154">
        <v>68</v>
      </c>
      <c r="X191" t="s" s="154">
        <v>68</v>
      </c>
      <c r="Y191" t="s" s="154">
        <v>68</v>
      </c>
      <c r="Z191" t="s" s="154">
        <v>68</v>
      </c>
      <c r="AA191" t="s" s="154">
        <v>68</v>
      </c>
      <c r="AB191" t="s" s="154">
        <v>68</v>
      </c>
      <c r="AC191" t="s" s="154">
        <v>68</v>
      </c>
      <c r="AD191" t="s" s="154">
        <v>68</v>
      </c>
      <c r="AE191" t="s" s="154">
        <v>68</v>
      </c>
      <c r="AF191" t="s" s="154">
        <v>68</v>
      </c>
      <c r="AG191" t="s" s="154">
        <v>68</v>
      </c>
      <c r="AH191" t="s" s="154">
        <v>68</v>
      </c>
      <c r="AI191" t="s" s="154">
        <v>68</v>
      </c>
      <c r="AJ191" t="s" s="154">
        <v>68</v>
      </c>
      <c r="AK191" t="s" s="154">
        <v>68</v>
      </c>
      <c r="AL191" t="s" s="154">
        <v>68</v>
      </c>
      <c r="AM191" t="s" s="154">
        <v>68</v>
      </c>
      <c r="AN191" t="s" s="154">
        <v>68</v>
      </c>
      <c r="AO191" t="s" s="154">
        <v>68</v>
      </c>
      <c r="AP191" t="s" s="154">
        <v>68</v>
      </c>
      <c r="AQ191" t="s" s="154">
        <v>68</v>
      </c>
      <c r="AR191" t="s" s="154">
        <v>68</v>
      </c>
      <c r="AS191" t="s" s="154">
        <v>68</v>
      </c>
      <c r="AT191" t="s" s="154">
        <v>68</v>
      </c>
      <c r="AU191" t="s" s="154">
        <v>68</v>
      </c>
      <c r="AV191" t="s" s="154">
        <v>68</v>
      </c>
      <c r="AW191" t="s" s="154">
        <v>68</v>
      </c>
      <c r="AX191" t="s" s="154">
        <v>68</v>
      </c>
      <c r="AY191" t="s" s="154">
        <v>68</v>
      </c>
      <c r="AZ191" t="s" s="154">
        <v>68</v>
      </c>
      <c r="BA191" t="s" s="154">
        <v>68</v>
      </c>
      <c r="BB191" t="s" s="154">
        <v>68</v>
      </c>
    </row>
    <row r="192" spans="2:54" ht="24">
      <c r="B192" s="145">
        <v>191</v>
      </c>
      <c r="C192" t="s" s="127">
        <v>1232</v>
      </c>
      <c r="D192" t="s" s="38">
        <v>1958</v>
      </c>
      <c r="E192" t="s" s="154">
        <v>68</v>
      </c>
      <c r="F192" t="s" s="154">
        <v>68</v>
      </c>
      <c r="G192" t="s" s="154">
        <v>68</v>
      </c>
      <c r="H192" t="s" s="154">
        <v>68</v>
      </c>
      <c r="I192" t="s" s="154">
        <v>68</v>
      </c>
      <c r="J192" t="s" s="154">
        <v>68</v>
      </c>
      <c r="K192" t="s" s="154">
        <v>68</v>
      </c>
      <c r="L192" t="s" s="154">
        <v>68</v>
      </c>
      <c r="M192" t="s" s="154">
        <v>68</v>
      </c>
      <c r="N192" t="s" s="154">
        <v>68</v>
      </c>
      <c r="O192" t="s" s="154">
        <v>68</v>
      </c>
      <c r="P192" t="s" s="154">
        <v>68</v>
      </c>
      <c r="Q192" t="s" s="154">
        <v>68</v>
      </c>
      <c r="R192" t="s" s="154">
        <v>68</v>
      </c>
      <c r="S192" t="s" s="154">
        <v>68</v>
      </c>
      <c r="T192" t="s" s="154">
        <v>68</v>
      </c>
      <c r="U192" t="s" s="154">
        <v>68</v>
      </c>
      <c r="V192" t="s" s="154">
        <v>68</v>
      </c>
      <c r="W192" t="s" s="154">
        <v>68</v>
      </c>
      <c r="X192" t="s" s="154">
        <v>68</v>
      </c>
      <c r="Y192" t="s" s="154">
        <v>68</v>
      </c>
      <c r="Z192" t="s" s="154">
        <v>68</v>
      </c>
      <c r="AA192" t="s" s="154">
        <v>68</v>
      </c>
      <c r="AB192" t="s" s="154">
        <v>68</v>
      </c>
      <c r="AC192" t="s" s="154">
        <v>68</v>
      </c>
      <c r="AD192" t="s" s="154">
        <v>68</v>
      </c>
      <c r="AE192" t="s" s="154">
        <v>68</v>
      </c>
      <c r="AF192" t="s" s="154">
        <v>68</v>
      </c>
      <c r="AG192" t="s" s="154">
        <v>68</v>
      </c>
      <c r="AH192" t="s" s="154">
        <v>68</v>
      </c>
      <c r="AI192" t="s" s="154">
        <v>68</v>
      </c>
      <c r="AJ192" t="s" s="154">
        <v>68</v>
      </c>
      <c r="AK192" t="s" s="154">
        <v>68</v>
      </c>
      <c r="AL192" t="s" s="154">
        <v>68</v>
      </c>
      <c r="AM192" t="s" s="154">
        <v>68</v>
      </c>
      <c r="AN192" t="s" s="154">
        <v>68</v>
      </c>
      <c r="AO192" t="s" s="154">
        <v>68</v>
      </c>
      <c r="AP192" t="s" s="154">
        <v>68</v>
      </c>
      <c r="AQ192" t="s" s="154">
        <v>68</v>
      </c>
      <c r="AR192" t="s" s="154">
        <v>68</v>
      </c>
      <c r="AS192" t="s" s="154">
        <v>68</v>
      </c>
      <c r="AT192" t="s" s="154">
        <v>68</v>
      </c>
      <c r="AU192" t="s" s="154">
        <v>68</v>
      </c>
      <c r="AV192" t="s" s="154">
        <v>68</v>
      </c>
      <c r="AW192" t="s" s="154">
        <v>68</v>
      </c>
      <c r="AX192" t="s" s="154">
        <v>68</v>
      </c>
      <c r="AY192" t="s" s="154">
        <v>68</v>
      </c>
      <c r="AZ192" t="s" s="154">
        <v>68</v>
      </c>
      <c r="BA192" t="s" s="154">
        <v>68</v>
      </c>
      <c r="BB192" t="s" s="154">
        <v>68</v>
      </c>
    </row>
    <row r="193" spans="2:54" ht="24">
      <c r="B193" s="145">
        <v>192</v>
      </c>
      <c r="C193" t="s" s="127">
        <v>819</v>
      </c>
      <c r="D193" t="s" s="38">
        <v>1959</v>
      </c>
      <c r="E193" t="s" s="154">
        <v>68</v>
      </c>
      <c r="F193" t="s" s="154">
        <v>68</v>
      </c>
      <c r="G193" t="s" s="154">
        <v>68</v>
      </c>
      <c r="H193" t="s" s="154">
        <v>68</v>
      </c>
      <c r="I193" t="s" s="154">
        <v>68</v>
      </c>
      <c r="J193" t="s" s="154">
        <v>68</v>
      </c>
      <c r="K193" t="s" s="154">
        <v>68</v>
      </c>
      <c r="L193" t="s" s="154">
        <v>68</v>
      </c>
      <c r="M193" t="s" s="154">
        <v>68</v>
      </c>
      <c r="N193" t="s" s="154">
        <v>68</v>
      </c>
      <c r="O193" t="s" s="154">
        <v>68</v>
      </c>
      <c r="P193" t="s" s="154">
        <v>68</v>
      </c>
      <c r="Q193" t="s" s="154">
        <v>68</v>
      </c>
      <c r="R193" t="s" s="154">
        <v>68</v>
      </c>
      <c r="S193" t="s" s="154">
        <v>68</v>
      </c>
      <c r="T193" t="s" s="154">
        <v>68</v>
      </c>
      <c r="U193" t="s" s="154">
        <v>68</v>
      </c>
      <c r="V193" t="s" s="154">
        <v>68</v>
      </c>
      <c r="W193" t="s" s="154">
        <v>68</v>
      </c>
      <c r="X193" t="s" s="154">
        <v>68</v>
      </c>
      <c r="Y193" t="s" s="154">
        <v>68</v>
      </c>
      <c r="Z193" t="s" s="154">
        <v>68</v>
      </c>
      <c r="AA193" t="s" s="154">
        <v>68</v>
      </c>
      <c r="AB193" t="s" s="154">
        <v>68</v>
      </c>
      <c r="AC193" t="s" s="154">
        <v>68</v>
      </c>
      <c r="AD193" t="s" s="154">
        <v>68</v>
      </c>
      <c r="AE193" t="s" s="154">
        <v>68</v>
      </c>
      <c r="AF193" t="s" s="154">
        <v>68</v>
      </c>
      <c r="AG193" t="s" s="154">
        <v>68</v>
      </c>
      <c r="AH193" t="s" s="154">
        <v>68</v>
      </c>
      <c r="AI193" t="s" s="154">
        <v>68</v>
      </c>
      <c r="AJ193" t="s" s="154">
        <v>68</v>
      </c>
      <c r="AK193" t="s" s="154">
        <v>68</v>
      </c>
      <c r="AL193" t="s" s="154">
        <v>68</v>
      </c>
      <c r="AM193" t="s" s="154">
        <v>68</v>
      </c>
      <c r="AN193" t="s" s="154">
        <v>68</v>
      </c>
      <c r="AO193" t="s" s="154">
        <v>68</v>
      </c>
      <c r="AP193" t="s" s="154">
        <v>68</v>
      </c>
      <c r="AQ193" t="s" s="154">
        <v>68</v>
      </c>
      <c r="AR193" t="s" s="154">
        <v>68</v>
      </c>
      <c r="AS193" t="s" s="154">
        <v>68</v>
      </c>
      <c r="AT193" t="s" s="154">
        <v>68</v>
      </c>
      <c r="AU193" t="s" s="154">
        <v>68</v>
      </c>
      <c r="AV193" t="s" s="154">
        <v>68</v>
      </c>
      <c r="AW193" t="s" s="154">
        <v>68</v>
      </c>
      <c r="AX193" t="s" s="154">
        <v>68</v>
      </c>
      <c r="AY193" t="s" s="154">
        <v>68</v>
      </c>
      <c r="AZ193" t="s" s="154">
        <v>68</v>
      </c>
      <c r="BA193" t="s" s="154">
        <v>68</v>
      </c>
      <c r="BB193" t="s" s="154">
        <v>68</v>
      </c>
    </row>
  </sheetData>
  <conditionalFormatting sqref="A1:A1048576">
    <cfRule type="cellIs" dxfId="73" priority="65" stopIfTrue="1" operator="equal">
      <formula>"R"</formula>
    </cfRule>
    <cfRule type="cellIs" dxfId="72" priority="66" stopIfTrue="1" operator="equal">
      <formula>"B"</formula>
    </cfRule>
    <cfRule type="cellIs" dxfId="71" priority="67" stopIfTrue="1" operator="equal">
      <formula>"V"</formula>
    </cfRule>
  </conditionalFormatting>
  <conditionalFormatting sqref="E184:BB184">
    <cfRule type="containsBlanks" dxfId="70" priority="1">
      <formula>LEN(TRIM(A1048576))=0</formula>
    </cfRule>
  </conditionalFormatting>
  <conditionalFormatting sqref="E183:BB183">
    <cfRule type="expression" dxfId="69" priority="2" stopIfTrue="1">
      <formula>IF(AND(Mer_dep&lt;&gt;"",E183&lt;&gt;Mer_dep),TRUE,FALSE)</formula>
    </cfRule>
    <cfRule type="containsBlanks" dxfId="68" priority="3">
      <formula>LEN(TRIM(A1048576))=0</formula>
    </cfRule>
  </conditionalFormatting>
  <conditionalFormatting sqref="E182:BB182">
    <cfRule type="containsBlanks" dxfId="67" priority="4">
      <formula>LEN(TRIM(A1048576))=0</formula>
    </cfRule>
  </conditionalFormatting>
  <conditionalFormatting sqref="E181:BB181">
    <cfRule type="containsBlanks" dxfId="66" priority="5">
      <formula>LEN(TRIM(A1048576))=0</formula>
    </cfRule>
  </conditionalFormatting>
  <conditionalFormatting sqref="E148:BB148">
    <cfRule type="containsBlanks" dxfId="65" priority="6">
      <formula>LEN(TRIM(A1048576))=0</formula>
    </cfRule>
  </conditionalFormatting>
  <conditionalFormatting sqref="D149:BB149">
    <cfRule type="containsBlanks" dxfId="64" priority="7">
      <formula>LEN(TRIM(XFD1048576))=0</formula>
    </cfRule>
  </conditionalFormatting>
  <conditionalFormatting sqref="E150:BB150">
    <cfRule type="containsBlanks" dxfId="63" priority="8">
      <formula>LEN(TRIM(A1048576))=0</formula>
    </cfRule>
  </conditionalFormatting>
  <conditionalFormatting sqref="D151:BB151">
    <cfRule type="containsBlanks" dxfId="62" priority="9">
      <formula>LEN(TRIM(XFD1048576))=0</formula>
    </cfRule>
  </conditionalFormatting>
  <conditionalFormatting sqref="E122:BB122">
    <cfRule type="containsBlanks" dxfId="61" priority="10">
      <formula>LEN(TRIM(A1048576))=0</formula>
    </cfRule>
  </conditionalFormatting>
  <conditionalFormatting sqref="E123:BB123">
    <cfRule type="containsBlanks" dxfId="60" priority="11">
      <formula>LEN(TRIM(A1048576))=0</formula>
    </cfRule>
  </conditionalFormatting>
  <conditionalFormatting sqref="E179:BB180">
    <cfRule type="containsBlanks" dxfId="59" priority="12">
      <formula>LEN(TRIM(A1048576))=0</formula>
    </cfRule>
  </conditionalFormatting>
  <conditionalFormatting sqref="E178:BB178">
    <cfRule type="containsBlanks" dxfId="58" priority="13">
      <formula>LEN(TRIM(A1048576))=0</formula>
    </cfRule>
  </conditionalFormatting>
  <conditionalFormatting sqref="E177:BB177">
    <cfRule type="containsBlanks" dxfId="57" priority="14">
      <formula>LEN(TRIM(A1048576))=0</formula>
    </cfRule>
  </conditionalFormatting>
  <conditionalFormatting sqref="E176:BB176">
    <cfRule type="containsBlanks" dxfId="56" priority="15">
      <formula>LEN(TRIM(A1048576))=0</formula>
    </cfRule>
  </conditionalFormatting>
  <conditionalFormatting sqref="E129:BB129">
    <cfRule type="containsBlanks" dxfId="55" priority="16">
      <formula>LEN(TRIM(A1048576))=0</formula>
    </cfRule>
  </conditionalFormatting>
  <conditionalFormatting sqref="E175:BB175">
    <cfRule type="containsBlanks" dxfId="54" priority="17">
      <formula>LEN(TRIM(A1048576))=0</formula>
    </cfRule>
  </conditionalFormatting>
  <conditionalFormatting sqref="E174:BB174">
    <cfRule type="containsBlanks" dxfId="53" priority="18">
      <formula>LEN(TRIM(A1048576))=0</formula>
    </cfRule>
  </conditionalFormatting>
  <conditionalFormatting sqref="E173:BB173">
    <cfRule type="containsBlanks" dxfId="52" priority="19">
      <formula>LEN(TRIM(A1048576))=0</formula>
    </cfRule>
  </conditionalFormatting>
  <conditionalFormatting sqref="E171:BB171">
    <cfRule type="containsBlanks" dxfId="51" priority="20">
      <formula>LEN(TRIM(A1048576))=0</formula>
    </cfRule>
  </conditionalFormatting>
  <conditionalFormatting sqref="E172:BB172">
    <cfRule type="containsBlanks" dxfId="50" priority="21">
      <formula>LEN(TRIM(A1048576))=0</formula>
    </cfRule>
  </conditionalFormatting>
  <conditionalFormatting sqref="E170:BB170">
    <cfRule type="expression" dxfId="49" priority="22" stopIfTrue="1">
      <formula>IF(AND(Mer_dep&lt;&gt;"",E170&lt;&gt;Mer_dep),TRUE,FALSE)</formula>
    </cfRule>
    <cfRule type="containsBlanks" dxfId="48" priority="23">
      <formula>LEN(TRIM(A1048576))=0</formula>
    </cfRule>
  </conditionalFormatting>
  <conditionalFormatting sqref="E169:BB169">
    <cfRule type="containsBlanks" dxfId="47" priority="24">
      <formula>LEN(TRIM(A1048576))=0</formula>
    </cfRule>
  </conditionalFormatting>
  <conditionalFormatting sqref="E168:BB168">
    <cfRule type="containsBlanks" dxfId="46" priority="25">
      <formula>LEN(TRIM(A1048576))=0</formula>
    </cfRule>
  </conditionalFormatting>
  <conditionalFormatting sqref="E162:BB162">
    <cfRule type="notContainsBlanks" dxfId="45" priority="26" stopIfTrue="1">
      <formula>LEN(TRIM(A1048576))&gt;0</formula>
    </cfRule>
  </conditionalFormatting>
  <conditionalFormatting sqref="E18:BB18">
    <cfRule type="expression" dxfId="44" priority="27" stopIfTrue="1">
      <formula>IF(AND(Mer_sup&lt;&gt;"",E18&lt;&gt;Mer_sup),TRUE,FALSE)</formula>
    </cfRule>
  </conditionalFormatting>
  <conditionalFormatting sqref="E4:BB4">
    <cfRule type="expression" dxfId="43" priority="28" stopIfTrue="1">
      <formula>IF(AND(Mer_dep&lt;&gt;"",E4&lt;&gt;Mer_dep),TRUE,FALSE)</formula>
    </cfRule>
  </conditionalFormatting>
  <conditionalFormatting sqref="E65:BB65">
    <cfRule type="containsText" dxfId="42" priority="29" stopIfTrue="1" operator="containsText" text="N">
      <formula>NOT(ISERROR(SEARCH("N",A1048576)))</formula>
    </cfRule>
    <cfRule type="cellIs" dxfId="41" priority="30" stopIfTrue="1" operator="equal">
      <formula>"N"</formula>
    </cfRule>
  </conditionalFormatting>
  <conditionalFormatting sqref="E67:BB67">
    <cfRule type="notContainsBlanks" dxfId="40" priority="31" stopIfTrue="1">
      <formula>LEN(TRIM(A1048576))&gt;0</formula>
    </cfRule>
  </conditionalFormatting>
  <conditionalFormatting sqref="E2:BB121 E130:BB147 E152:BB167 E124:BB128">
    <cfRule type="containsBlanks" dxfId="39" priority="32">
      <formula>LEN(TRIM(A1048576))=0</formula>
    </cfRule>
  </conditionalFormatting>
  <dataValidations count="39">
    <dataValidation type="decimal" allowBlank="1" showInputMessage="1" showErrorMessage="1" sqref="E186:BB189" xr:uid="{DD32692B-80E5-5A45-91B8-27E8DA82D165}">
      <formula1>1</formula1>
      <formula2>999999999</formula2>
    </dataValidation>
    <dataValidation type="whole" allowBlank="1" showInputMessage="1" showErrorMessage="1" sqref="E185:BB185" xr:uid="{5FFA8BF4-6743-9A42-A962-38DCB088EE3B}">
      <formula1>1</formula1>
      <formula2>999999999</formula2>
    </dataValidation>
    <dataValidation type="list" showInputMessage="1" showErrorMessage="1" sqref="E95:BB95" xr:uid="{58C4736D-E3C3-8146-9562-924F112DDE66}">
      <formula1>OFFSET(INDEX(Values_List,1,1),1,MATCH($C95,OFFSET(INDEX(Values_List,1,1),0,0,1,60),0)-1,COUNTA(OFFSET(INDEX(Values_List,1,1),1,MATCH($C95,OFFSET(INDEX(Values_List,1,1),0,0,1,60),0)-1,90,1)),1)</formula1>
    </dataValidation>
    <dataValidation type="textLength" operator="lessThanOrEqual" allowBlank="1" showInputMessage="1" showErrorMessage="1" sqref="E184:BB184" xr:uid="{E3DF0E8E-F09D-DB44-A298-046559DBD146}">
      <formula1>100</formula1>
    </dataValidation>
    <dataValidation type="list" allowBlank="1" showInputMessage="1" showErrorMessage="1" sqref="E182:BB182" xr:uid="{3BB35576-0444-A048-890B-4089CC5A89E8}">
      <formula1>"0,1,2"</formula1>
    </dataValidation>
    <dataValidation type="list" showInputMessage="1" showErrorMessage="1" promptTitle="YEARS     //  DAYS" prompt="  1 YR       =   365_x000a_  18 MOs  =   548_x000a_  2 YRS     =   730_x000a_  3 YRS     = 1095_x000a_  4 YRS     = 1460_x000a_  5 YRS     = 1825_x000a_  6 YRS     = 2190_x000a_  7 YRS     = 2555_x000a_10 YRS     = 3650_x000a_15 YRS     = 5475_x000a_20 YRS     = 7300_x000a_25 YRS     = 9125_x000a_LIFETIME = 9999" sqref="E122:BB123 E129:BB129 D149 E148:BB151 D151" xr:uid="{AC723367-4C3A-DF47-94AA-D7A419779C72}">
      <formula1>"0,30,45,60,90,120,180,182,270,365,548,730,1095,1460,1825,2190,2555,3650,5475,7300,9125,9999"</formula1>
    </dataValidation>
    <dataValidation type="list" showInputMessage="1" showErrorMessage="1" sqref="E159:BB160" xr:uid="{F1B78634-39CB-2D4F-9C00-F469F1D7A854}">
      <formula1>OFFSET(INDEX(Values_List,1,1),1,MATCH($C159,OFFSET(INDEX(Values_List,1,1),0,0,1,60),0)-1,COUNTA(OFFSET(INDEX(Values_List,1,1),1,MATCH($C159,OFFSET(INDEX(Values_List,1,1),0,0,1,60),0)-1,70,1)),1)</formula1>
    </dataValidation>
    <dataValidation type="list" showInputMessage="1" showErrorMessage="1" sqref="E179:BB180" xr:uid="{61842110-E39E-CD4B-908D-43004691DD21}">
      <formula1>"Y"</formula1>
    </dataValidation>
    <dataValidation type="list" showInputMessage="1" showErrorMessage="1" sqref="E171:BB171 E175:BB175" xr:uid="{C9C377B2-1793-104B-9FE1-B68C2F746443}">
      <formula1>INDIRECT(SUBSTITUTE(SUBSTITUTE(SUBSTITUTE($C171,")",""),"(","_")," ","_"))</formula1>
    </dataValidation>
    <dataValidation type="list" showInputMessage="1" showErrorMessage="1" sqref="E69:BB69" xr:uid="{263946B0-081B-3040-899A-E6298D98C729}">
      <formula1>INDIRECT(SUBSTITUTE($C69," ","_"))</formula1>
    </dataValidation>
    <dataValidation type="list" allowBlank="1" showInputMessage="1" showErrorMessage="1" sqref="E166:BB166" xr:uid="{C2B506E7-721C-E841-8BF9-96972CD20EF5}">
      <formula1>"1-6 Months_1,6-12 Months_2,12-18 Months_3,18-24 Months_4,24 + Months_5"</formula1>
    </dataValidation>
    <dataValidation type="list" allowBlank="1" showInputMessage="1" showErrorMessage="1" sqref="E165:BB165" xr:uid="{45802F6A-3734-4141-B606-3F594AF0CE13}">
      <formula1>"Expiration Date_1,Lot Number_2,Both (Expiration Date&amp;Lot Number)_3"</formula1>
    </dataValidation>
    <dataValidation type="list" allowBlank="1" showInputMessage="1" showErrorMessage="1" sqref="E67:BB68 E168:BB168 E172:BB172" xr:uid="{CAB771F4-ABA7-804B-96DA-686E434825C0}">
      <formula1>"Y_1,N_0"</formula1>
    </dataValidation>
    <dataValidation type="list" allowBlank="1" showInputMessage="1" showErrorMessage="1" sqref="E162:BB162 E176:BB176" xr:uid="{F1D6C809-AFEE-B549-94B7-222CEC283B59}">
      <formula1>"Y_1, N_0"</formula1>
    </dataValidation>
    <dataValidation type="whole" showInputMessage="1" showErrorMessage="1" sqref="E5:BB6" xr:uid="{718F78EE-948E-C848-9F67-405F645572A3}">
      <formula1>0</formula1>
      <formula2>9999</formula2>
    </dataValidation>
    <dataValidation type="whole" showInputMessage="1" showErrorMessage="1" sqref="E4:BB4 E170:BB170 E183:BB183" xr:uid="{E9341162-1A92-4048-96C9-2AF574E089B4}">
      <formula1>1</formula1>
      <formula2>9999</formula2>
    </dataValidation>
    <dataValidation type="textLength" operator="lessThanOrEqual" allowBlank="1" showInputMessage="1" showErrorMessage="1" sqref="E12:BB12" xr:uid="{DC187468-E198-8E46-A619-DB036282EBAA}">
      <formula1>40</formula1>
    </dataValidation>
    <dataValidation type="decimal" allowBlank="1" showInputMessage="1" showErrorMessage="1" sqref="E22:BB29" xr:uid="{6CAF35E9-DC9F-CC49-BE8C-C4FCA05DD2C8}">
      <formula1>0</formula1>
      <formula2>99999</formula2>
    </dataValidation>
    <dataValidation type="textLength" operator="lessThanOrEqual" allowBlank="1" showInputMessage="1" showErrorMessage="1" prompt="Upto 255 characters only" sqref="E152:BB153" xr:uid="{59F68BB0-67BD-EB47-9CBB-EA49BA25CC16}">
      <formula1>255</formula1>
    </dataValidation>
    <dataValidation type="textLength" operator="lessThanOrEqual" allowBlank="1" showInputMessage="1" showErrorMessage="1" prompt="Maximum 30 characters only" sqref="E17:BB17" xr:uid="{487E6406-757E-AF45-8ED0-5394696B802D}">
      <formula1>30</formula1>
    </dataValidation>
    <dataValidation type="textLength" operator="lessThanOrEqual" allowBlank="1" showInputMessage="1" showErrorMessage="1" sqref="E88:BB88" xr:uid="{10637C5D-0377-024B-A061-05D135C994E5}">
      <formula1>33</formula1>
    </dataValidation>
    <dataValidation type="whole" allowBlank="1" showInputMessage="1" showErrorMessage="1" sqref="E114:BB114 E190:BB193" xr:uid="{B57BC508-BB74-3946-8DD7-E231EDA7F049}">
      <formula1>0</formula1>
      <formula2>99999999</formula2>
    </dataValidation>
    <dataValidation type="textLength" operator="lessThanOrEqual" allowBlank="1" showInputMessage="1" showErrorMessage="1" sqref="E111:BB111" xr:uid="{1F519C3D-23AB-8449-8294-56F3BEED7016}">
      <formula1>256</formula1>
    </dataValidation>
    <dataValidation type="decimal" allowBlank="1" showInputMessage="1" showErrorMessage="1" sqref="E20:BB21 E36:BB36 E40:BB40 E44:BB44 E48:BB48 E52:BB52 E56:BB56 E60:BB60 E74:BB74 E105:BB105 E139:BB139 E143:BB143 E174:BB174 E178:BB178" xr:uid="{32F04DCC-C8DB-F84A-82DD-2115BA1FD018}">
      <formula1>0</formula1>
      <formula2>99999999</formula2>
    </dataValidation>
    <dataValidation type="whole" allowBlank="1" showInputMessage="1" showErrorMessage="1" sqref="E18:BB18 E30:BB35 E37:BB39 E41:BB43 E45:BB47 E49:BB51 E53:BB55 E57:BB59 E61:BB62 E138:BB138 E140:BB142 E144:BB145" xr:uid="{E643908C-72DC-2646-AA99-A3997CBE4503}">
      <formula1>1</formula1>
      <formula2>99999999</formula2>
    </dataValidation>
    <dataValidation type="list" showInputMessage="1" showErrorMessage="1" prompt="Pls enter value, null not allowed" sqref="E72:BB72" xr:uid="{19E7ABFD-9E45-E749-AB0A-CEDBE28E5745}">
      <formula1>"Y,N"</formula1>
    </dataValidation>
    <dataValidation type="textLength" allowBlank="1" showInputMessage="1" showErrorMessage="1" sqref="E13:BB14 E146:BB146" xr:uid="{0E62F350-51BF-814B-8D56-E74CC52C34AB}">
      <formula1>12</formula1>
      <formula2>13</formula2>
    </dataValidation>
    <dataValidation type="textLength" operator="lessThanOrEqual" allowBlank="1" showInputMessage="1" showErrorMessage="1" sqref="E89:BB89 E113:BB113" xr:uid="{7A6E9B2D-1A4D-0745-9591-505B0791E303}">
      <formula1>60</formula1>
    </dataValidation>
    <dataValidation type="list" showInputMessage="1" showErrorMessage="1" sqref="E93:BB93" xr:uid="{A58C9544-7C2D-9342-A6E0-97F10A7DA8A5}">
      <formula1>"0,1,2,3,4,5"</formula1>
    </dataValidation>
    <dataValidation type="whole" allowBlank="1" showInputMessage="1" showErrorMessage="1" sqref="E118:BB118" xr:uid="{474385FA-3096-E747-AD83-733A4C9A1BB1}">
      <formula1>1000000000</formula1>
      <formula2>9999999999</formula2>
    </dataValidation>
    <dataValidation type="list" allowBlank="1" showInputMessage="1" showErrorMessage="1" sqref="E108:BB109" xr:uid="{3E85404D-DDDC-444A-B8A5-E6556128B5B8}">
      <formula1>"14, 30"</formula1>
    </dataValidation>
    <dataValidation type="textLength" operator="lessThanOrEqual" allowBlank="1" showInputMessage="1" showErrorMessage="1" sqref="E11:BB11 E15:BB15" xr:uid="{F0405AA5-1C0B-E448-8A82-5AC6F50C1F88}">
      <formula1>20</formula1>
    </dataValidation>
    <dataValidation type="list" showInputMessage="1" showErrorMessage="1" sqref="E147:BB147" xr:uid="{C5C2AC79-C82D-7140-8521-D1DD355A053C}">
      <formula1>"PARTS &amp; LABOUR, LABOUR ONLY, PARTS ONLY"</formula1>
    </dataValidation>
    <dataValidation type="list" allowBlank="1" showInputMessage="1" showErrorMessage="1" sqref="E85:BB85 E103:BB103" xr:uid="{F3BE84E7-C364-114A-A370-791E18373956}">
      <formula1>"Y_1"</formula1>
    </dataValidation>
    <dataValidation type="date" operator="greaterThan" allowBlank="1" showInputMessage="1" showErrorMessage="1" sqref="E71:BB71 E73:BB73 E158:BB158" xr:uid="{A73FB387-8701-9B43-8DE4-9CDA32BB5CE4}">
      <formula1>40940</formula1>
    </dataValidation>
    <dataValidation type="list" allowBlank="1" showInputMessage="1" showErrorMessage="1" sqref="E65:BB66 E75:BB75 E77:BB84 E92:BB92 E94:BB94 E97:BB97 E99:BB102 E104:BB104 E106:BB107 E112:BB112 E115:BB117 E119:BB121 E124:BB128 E130:BB130 E132:BB134 E161:BB161 E163:BB163 E167:BB167 E169:BB169 E177:BB177 E181:BB181" xr:uid="{C934FB49-9327-FC43-BEED-3BD9E6F400F6}">
      <formula1>"Y,N"</formula1>
    </dataValidation>
    <dataValidation type="list" showInputMessage="1" prompt="Type the name of port if not available on the list" sqref="E9:BB9" xr:uid="{8822B639-107F-9743-89D4-D82FE85537C1}">
      <formula1>OFFSET(INDEX(Values_List,1,1),1,MATCH($C9,OFFSET(INDEX(Values_List,1,1),0,0,1,60),0)-1,COUNTA(OFFSET(INDEX(Values_List,1,1),1,MATCH($C9,OFFSET(INDEX(Values_List,1,1),0,0,1,60),0)-1,50,1)),1)</formula1>
    </dataValidation>
    <dataValidation type="list" showInputMessage="1" prompt="If Other tariff is applicable, pls type over with the appropriate tariff" sqref="E10:BB10" xr:uid="{065C6921-0B19-184C-BA5C-49BBE1D33F38}">
      <formula1>OFFSET(INDEX(Values_List,1,1),1,MATCH($C10,OFFSET(INDEX(Values_List,1,1),0,0,1,60),0)-1,COUNTA(OFFSET(INDEX(Values_List,1,1),1,MATCH($C10,OFFSET(INDEX(Values_List,1,1),0,0,1,60),0)-1,50,1)),1)</formula1>
    </dataValidation>
    <dataValidation type="list" showInputMessage="1" showErrorMessage="1" sqref="E2:BB3 E7:BB8 E63:BB64 E70:BB70 E76:BB76 E86:BB86 E90:BB91 E96:BB96 E110:BB110 E131:BB131 E164:BB164 E173:BB173" xr:uid="{B9DC80AB-1518-AC4A-828E-B2E4CF53DDBA}">
      <formula1>OFFSET(INDEX(Values_List,1,1),1,MATCH($C2,OFFSET(INDEX(Values_List,1,1),0,0,1,60),0)-1,COUNTA(OFFSET(INDEX(Values_List,1,1),1,MATCH($C2,OFFSET(INDEX(Values_List,1,1),0,0,1,60),0)-1,50,1)),1)</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ercury">
    <tabColor rgb="FFFFC000"/>
  </sheetPr>
  <sheetViews>
    <sheetView showGridLines="0" zoomScaleNormal="100" zoomScaleSheetLayoutView="100" workbookViewId="0">
      <selection activeCell="A6" sqref="A6"/>
    </sheetView>
  </sheetViews>
  <sheetFormatPr baseColWidth="10" defaultColWidth="9.1640625" defaultRowHeight="15"/>
  <cols>
    <col min="1" max="1" width="32.33203125" customWidth="1"/>
    <col min="2" max="2" width="23" style="197" customWidth="1"/>
    <col min="3" max="3" width="45.83203125" customWidth="1"/>
    <col min="4" max="4" width="19.33203125" customWidth="1"/>
    <col min="5" max="5" width="32.33203125" customWidth="1"/>
  </cols>
  <sheetData>
    <row r="1" spans="1:5">
      <c r="A1" t="s" s="127">
        <v>714</v>
      </c>
      <c r="B1" t="s" s="117">
        <v>1559</v>
      </c>
      <c r="C1" t="s" s="117">
        <v>1711</v>
      </c>
      <c r="D1" t="s" s="127">
        <v>909</v>
      </c>
      <c r="E1" t="s" s="127">
        <v>615</v>
      </c>
    </row>
    <row r="2" spans="1:5">
      <c r="A2" t="s" s="187">
        <v>1710</v>
      </c>
      <c r="B2" s="105">
        <v>87</v>
      </c>
      <c r="C2" s="94">
        <f>IF(ISERROR(VLOOKUP(A2,#REF!,1,0)),IF(A2&lt;&gt;"","Name does not macth with name on Master Table",""),"Name OK")</f>
      </c>
      <c r="D2" t="s" s="147">
        <v>1740</v>
      </c>
      <c r="E2" t="s" s="147">
        <v>330</v>
      </c>
    </row>
    <row r="3" spans="1:5">
      <c r="A3" t="s" s="95">
        <v>264</v>
      </c>
      <c r="B3" s="105">
        <v>1226535</v>
      </c>
      <c r="C3" s="94">
        <f>IF(ISERROR(VLOOKUP(A3,#REF!,1,0)),IF(A3&lt;&gt;"","Name does not macth with name on Master Table",""),"Name OK")</f>
      </c>
      <c r="D3" t="s" s="147">
        <v>1226</v>
      </c>
      <c r="E3" t="s" s="147">
        <v>1197</v>
      </c>
    </row>
    <row r="4" spans="1:5">
      <c r="A4" t="s" s="187">
        <v>706</v>
      </c>
      <c r="B4" t="s" s="36">
        <v>1055</v>
      </c>
      <c r="C4" s="94">
        <f>IF(ISERROR(VLOOKUP(A4,#REF!,1,0)),IF(A4&lt;&gt;"","Name does not macth with name on Master Table",""),"Name OK")</f>
      </c>
      <c r="D4" t="s" s="147">
        <v>537</v>
      </c>
      <c r="E4" t="s" s="147">
        <v>747</v>
      </c>
    </row>
    <row r="5" spans="1:5">
      <c r="A5" t="s" s="187">
        <v>374</v>
      </c>
      <c r="B5" s="105"/>
      <c r="C5" s="94">
        <f>IF(ISERROR(VLOOKUP(A5,#REF!,1,0)),IF(A5&lt;&gt;"","Name does not macth with name on Master Table",""),"Name OK")</f>
      </c>
      <c r="D5" t="s" s="147">
        <v>537</v>
      </c>
      <c r="E5" t="s" s="147">
        <v>41</v>
      </c>
    </row>
    <row r="6" spans="1:5">
      <c r="A6" t="s" s="147">
        <v>700</v>
      </c>
      <c r="B6" t="s" s="105">
        <v>1136</v>
      </c>
      <c r="C6" s="94">
        <f>IF(ISERROR(VLOOKUP(A6,#REF!,1,0)),IF(A6&lt;&gt;"","Name does not macth with name on Master Table",""),"Name OK")</f>
      </c>
      <c r="D6" t="s" s="147">
        <v>648</v>
      </c>
      <c r="E6" t="s" s="147">
        <v>1147</v>
      </c>
    </row>
    <row r="7" spans="1:5">
      <c r="A7" t="s" s="147">
        <v>621</v>
      </c>
      <c r="B7" t="s" s="59">
        <v>816</v>
      </c>
      <c r="C7" s="94">
        <f>IF(ISERROR(VLOOKUP(A7,#REF!,1,0)),IF(A7&lt;&gt;"","Name does not macth with name on Master Table",""),"Name OK")</f>
      </c>
      <c r="D7" t="s" s="147">
        <v>1226</v>
      </c>
      <c r="E7" t="s" s="147">
        <v>183</v>
      </c>
    </row>
    <row r="8" spans="1:5">
      <c r="A8" t="s" s="147">
        <v>1799</v>
      </c>
      <c r="B8" t="s" s="59">
        <v>816</v>
      </c>
      <c r="C8" s="94">
        <f>IF(ISERROR(VLOOKUP(A8,#REF!,1,0)),IF(A8&lt;&gt;"","Name does not macth with name on Master Table",""),"Name OK")</f>
      </c>
      <c r="D8" t="s" s="147">
        <v>1226</v>
      </c>
      <c r="E8" t="s" s="147">
        <v>603</v>
      </c>
    </row>
    <row r="9" spans="1:5">
      <c r="A9" t="s" s="147">
        <v>871</v>
      </c>
      <c r="B9" s="59">
        <v>30</v>
      </c>
      <c r="C9" s="94">
        <f>IF(ISERROR(VLOOKUP(A9,#REF!,1,0)),IF(A9&lt;&gt;"","Name does not macth with name on Master Table",""),"Name OK")</f>
      </c>
      <c r="D9" t="s" s="147">
        <v>1226</v>
      </c>
      <c r="E9" t="s" s="147">
        <v>492</v>
      </c>
    </row>
    <row r="10" spans="1:5">
      <c r="A10" t="s" s="147">
        <v>437</v>
      </c>
      <c r="B10" s="59">
        <v>30</v>
      </c>
      <c r="C10" s="94">
        <f>IF(ISERROR(VLOOKUP(A10,#REF!,1,0)),IF(A10&lt;&gt;"","Name does not macth with name on Master Table",""),"Name OK")</f>
      </c>
      <c r="D10" t="s" s="147">
        <v>1226</v>
      </c>
      <c r="E10" t="s" s="147">
        <v>451</v>
      </c>
    </row>
    <row r="11" spans="1:5">
      <c r="A11" t="s" s="147">
        <v>655</v>
      </c>
      <c r="B11" s="59">
        <v>1</v>
      </c>
      <c r="C11" s="94">
        <f>IF(ISERROR(VLOOKUP(A11,#REF!,1,0)),IF(A11&lt;&gt;"","Name does not macth with name on Master Table",""),"Name OK")</f>
      </c>
      <c r="D11" t="s" s="147">
        <v>1226</v>
      </c>
      <c r="E11" t="s" s="147">
        <v>1239</v>
      </c>
    </row>
    <row r="12" spans="1:5">
      <c r="A12" t="s" s="147">
        <v>1674</v>
      </c>
      <c r="B12" s="59"/>
      <c r="C12" s="94">
        <f>IF(ISERROR(VLOOKUP(A12,#REF!,1,0)),IF(A12&lt;&gt;"","Name does not macth with name on Master Table",""),"Name OK")</f>
      </c>
      <c r="D12" t="s" s="147">
        <v>1226</v>
      </c>
      <c r="E12" t="s" s="147">
        <v>1002</v>
      </c>
    </row>
    <row r="13" spans="1:5">
      <c r="A13" t="s" s="147">
        <v>1073</v>
      </c>
      <c r="B13" t="s" s="59">
        <v>1055</v>
      </c>
      <c r="C13" s="94">
        <f>IF(ISERROR(VLOOKUP(A13,#REF!,1,0)),IF(A13&lt;&gt;"","Name does not macth with name on Master Table",""),"Name OK")</f>
      </c>
      <c r="D13" t="s" s="147">
        <v>1226</v>
      </c>
      <c r="E13" t="s" s="147">
        <v>1508</v>
      </c>
    </row>
    <row r="14" spans="1:5">
      <c r="A14" t="s" s="147">
        <v>1768</v>
      </c>
      <c r="B14" s="59"/>
      <c r="C14" s="94">
        <f>IF(ISERROR(VLOOKUP(A14,#REF!,1,0)),IF(A14&lt;&gt;"","Name does not macth with name on Master Table",""),"Name OK")</f>
      </c>
      <c r="D14" t="s" s="147">
        <v>1226</v>
      </c>
      <c r="E14" t="s" s="147">
        <v>1502</v>
      </c>
    </row>
    <row r="15" spans="1:5">
      <c r="A15" t="s" s="147">
        <v>1026</v>
      </c>
      <c r="B15" s="59">
        <v>0</v>
      </c>
      <c r="C15" s="94">
        <f>IF(ISERROR(VLOOKUP(A15,#REF!,1,0)),IF(A15&lt;&gt;"","Name does not macth with name on Master Table",""),"Name OK")</f>
      </c>
      <c r="D15" t="s" s="147">
        <v>1226</v>
      </c>
      <c r="E15" t="s" s="147">
        <v>1282</v>
      </c>
    </row>
    <row r="16" spans="1:5">
      <c r="A16" t="s" s="147">
        <v>494</v>
      </c>
      <c r="B16" t="s" s="59">
        <v>816</v>
      </c>
      <c r="C16" s="94">
        <f>IF(ISERROR(VLOOKUP(A16,#REF!,1,0)),IF(A16&lt;&gt;"","Name does not macth with name on Master Table",""),"Name OK")</f>
      </c>
      <c r="D16" t="s" s="147">
        <v>1226</v>
      </c>
      <c r="E16" t="s" s="147">
        <v>1243</v>
      </c>
    </row>
    <row r="17" spans="1:5">
      <c r="A17" t="s" s="147">
        <v>1311</v>
      </c>
      <c r="B17" t="s" s="59">
        <v>1055</v>
      </c>
      <c r="C17" s="94">
        <f>IF(ISERROR(VLOOKUP(A17,#REF!,1,0)),IF(A17&lt;&gt;"","Name does not macth with name on Master Table",""),"Name OK")</f>
      </c>
      <c r="D17" t="s" s="147">
        <v>1226</v>
      </c>
      <c r="E17" t="s" s="147">
        <v>189</v>
      </c>
    </row>
    <row r="18" spans="1:5">
      <c r="A18" t="s" s="95">
        <v>1412</v>
      </c>
      <c r="B18" t="s" s="59">
        <v>1055</v>
      </c>
      <c r="C18" s="94">
        <f>IF(ISERROR(VLOOKUP(A18,#REF!,1,0)),IF(A18&lt;&gt;"","Name does not macth with name on Master Table",""),"Name OK")</f>
      </c>
      <c r="D18" t="s" s="147">
        <v>1226</v>
      </c>
      <c r="E18" t="s" s="147">
        <v>657</v>
      </c>
    </row>
    <row r="19" spans="1:5">
      <c r="A19" t="s" s="147">
        <v>276</v>
      </c>
      <c r="B19" s="59">
        <v>8005929541</v>
      </c>
      <c r="C19" s="94">
        <f>IF(ISERROR(VLOOKUP(A19,#REF!,1,0)),IF(A19&lt;&gt;"","Name does not macth with name on Master Table",""),"Name OK")</f>
      </c>
      <c r="D19" t="s" s="147">
        <v>1226</v>
      </c>
      <c r="E19" t="s" s="147">
        <v>375</v>
      </c>
    </row>
    <row r="20" spans="1:5">
      <c r="A20" t="s" s="147">
        <v>1031</v>
      </c>
      <c r="B20" t="s" s="59">
        <v>1055</v>
      </c>
      <c r="C20" s="94">
        <f>IF(ISERROR(VLOOKUP(A20,#REF!,1,0)),IF(A20&lt;&gt;"","Name does not macth with name on Master Table",""),"Name OK")</f>
      </c>
      <c r="D20" t="s" s="147">
        <v>1226</v>
      </c>
      <c r="E20" t="s" s="147">
        <v>1410</v>
      </c>
    </row>
    <row r="21" spans="1:5">
      <c r="A21" t="s" s="147">
        <v>540</v>
      </c>
      <c r="B21" t="s" s="59">
        <v>816</v>
      </c>
      <c r="C21" s="94">
        <f>IF(ISERROR(VLOOKUP(A21,#REF!,1,0)),IF(A21&lt;&gt;"","Name does not macth with name on Master Table",""),"Name OK")</f>
      </c>
      <c r="D21" t="s" s="147">
        <v>1226</v>
      </c>
      <c r="E21" t="s" s="147">
        <v>868</v>
      </c>
    </row>
    <row r="22" spans="1:5">
      <c r="A22" t="s" s="95">
        <v>1728</v>
      </c>
      <c r="B22" t="s" s="59">
        <v>1055</v>
      </c>
      <c r="C22" s="94">
        <f>IF(ISERROR(VLOOKUP(A22,#REF!,1,0)),IF(A22&lt;&gt;"","Name does not macth with name on Master Table",""),"Name OK")</f>
      </c>
      <c r="D22" t="s" s="147">
        <v>1226</v>
      </c>
      <c r="E22" t="s" s="147">
        <v>938</v>
      </c>
    </row>
    <row r="23" spans="1:5">
      <c r="A23" t="s" s="147">
        <v>850</v>
      </c>
      <c r="B23" s="59">
        <v>365</v>
      </c>
      <c r="C23" s="94">
        <f>IF(ISERROR(VLOOKUP(A23,#REF!,1,0)),IF(A23&lt;&gt;"","Name does not macth with name on Master Table",""),"Name OK")</f>
      </c>
      <c r="D23" t="s" s="147">
        <v>1226</v>
      </c>
      <c r="E23" t="s" s="147">
        <v>1773</v>
      </c>
    </row>
    <row r="24" spans="1:5">
      <c r="A24" t="s" s="147">
        <v>312</v>
      </c>
      <c r="B24" s="59">
        <v>365</v>
      </c>
      <c r="C24" s="94">
        <f>IF(ISERROR(VLOOKUP(A24,#REF!,1,0)),IF(A24&lt;&gt;"","Name does not macth with name on Master Table",""),"Name OK")</f>
      </c>
      <c r="D24" t="s" s="147">
        <v>1226</v>
      </c>
      <c r="E24" t="s" s="147">
        <v>854</v>
      </c>
    </row>
    <row r="25" spans="1:5">
      <c r="A25" t="s" s="147">
        <v>390</v>
      </c>
      <c r="B25" t="s" s="59">
        <v>1055</v>
      </c>
      <c r="C25" s="94">
        <f>IF(ISERROR(VLOOKUP(A25,#REF!,1,0)),IF(A25&lt;&gt;"","Name does not macth with name on Master Table",""),"Name OK")</f>
      </c>
      <c r="D25" t="s" s="147">
        <v>1226</v>
      </c>
      <c r="E25" t="s" s="147">
        <v>308</v>
      </c>
    </row>
    <row r="26" spans="1:5">
      <c r="A26" t="s" s="147">
        <v>539</v>
      </c>
      <c r="B26" t="s" s="59">
        <v>1055</v>
      </c>
      <c r="C26" s="94">
        <f>IF(ISERROR(VLOOKUP(A26,#REF!,1,0)),IF(A26&lt;&gt;"","Name does not macth with name on Master Table",""),"Name OK")</f>
      </c>
      <c r="D26" t="s" s="147">
        <v>1226</v>
      </c>
      <c r="E26" t="s" s="147">
        <v>1558</v>
      </c>
    </row>
    <row r="27" spans="1:5">
      <c r="A27" t="s" s="147">
        <v>1345</v>
      </c>
      <c r="B27" t="s" s="59">
        <v>1055</v>
      </c>
      <c r="C27" s="94">
        <f>IF(ISERROR(VLOOKUP(A27,#REF!,1,0)),IF(A27&lt;&gt;"","Name does not macth with name on Master Table",""),"Name OK")</f>
      </c>
      <c r="D27" t="s" s="147">
        <v>1226</v>
      </c>
      <c r="E27" t="s" s="147">
        <v>1442</v>
      </c>
    </row>
    <row r="28" spans="1:5">
      <c r="A28" t="s" s="147">
        <v>716</v>
      </c>
      <c r="B28" t="s" s="59">
        <v>1055</v>
      </c>
      <c r="C28" s="94">
        <f>IF(ISERROR(VLOOKUP(A28,#REF!,1,0)),IF(A28&lt;&gt;"","Name does not macth with name on Master Table",""),"Name OK")</f>
      </c>
      <c r="D28" t="s" s="147">
        <v>1226</v>
      </c>
      <c r="E28" t="s" s="147">
        <v>432</v>
      </c>
    </row>
    <row r="29" spans="1:5">
      <c r="A29" t="s" s="147">
        <v>415</v>
      </c>
      <c r="B29" t="s" s="59">
        <v>1055</v>
      </c>
      <c r="C29" s="94">
        <f>IF(ISERROR(VLOOKUP(A29,#REF!,1,0)),IF(A29&lt;&gt;"","Name does not macth with name on Master Table",""),"Name OK")</f>
      </c>
      <c r="D29" t="s" s="147">
        <v>1226</v>
      </c>
      <c r="E29" t="s" s="147">
        <v>465</v>
      </c>
    </row>
    <row r="30" spans="1:5">
      <c r="A30" t="s" s="147">
        <v>163</v>
      </c>
      <c r="B30" s="59">
        <v>365</v>
      </c>
      <c r="C30" s="94">
        <f>IF(ISERROR(VLOOKUP(A30,#REF!,1,0)),IF(A30&lt;&gt;"","Name does not macth with name on Master Table",""),"Name OK")</f>
      </c>
      <c r="D30" t="s" s="147">
        <v>1226</v>
      </c>
      <c r="E30" t="s" s="147">
        <v>479</v>
      </c>
    </row>
    <row r="31" spans="1:5">
      <c r="A31" t="s" s="147">
        <v>300</v>
      </c>
      <c r="B31" t="s" s="59">
        <v>1055</v>
      </c>
      <c r="C31" s="94">
        <f>IF(ISERROR(VLOOKUP(A31,#REF!,1,0)),IF(A31&lt;&gt;"","Name does not macth with name on Master Table",""),"Name OK")</f>
      </c>
      <c r="D31" t="s" s="147">
        <v>1226</v>
      </c>
      <c r="E31" t="s" s="147">
        <v>849</v>
      </c>
    </row>
    <row r="32" spans="1:5">
      <c r="A32" t="s" s="147">
        <v>1190</v>
      </c>
      <c r="B32" s="59">
        <v>0</v>
      </c>
      <c r="C32" s="94">
        <f>IF(ISERROR(VLOOKUP(A32,#REF!,1,0)),IF(A32&lt;&gt;"","Name does not macth with name on Master Table",""),"Name OK")</f>
      </c>
      <c r="D32" t="s" s="147">
        <v>1226</v>
      </c>
      <c r="E32" t="s" s="147">
        <v>1677</v>
      </c>
    </row>
    <row r="33" spans="1:5">
      <c r="A33" t="s" s="147">
        <v>548</v>
      </c>
      <c r="B33" t="s" s="59">
        <v>816</v>
      </c>
      <c r="C33" s="94">
        <f>IF(ISERROR(VLOOKUP(A33,#REF!,1,0)),IF(A33&lt;&gt;"","Name does not macth with name on Master Table",""),"Name OK")</f>
      </c>
      <c r="D33" t="s" s="147">
        <v>1226</v>
      </c>
      <c r="E33" t="s" s="147">
        <v>1573</v>
      </c>
    </row>
    <row r="34" spans="1:5">
      <c r="A34" t="s" s="147">
        <v>822</v>
      </c>
      <c r="B34" t="s" s="59">
        <v>1055</v>
      </c>
      <c r="C34" s="94">
        <f>IF(ISERROR(VLOOKUP(A34,#REF!,1,0)),IF(A34&lt;&gt;"","Name does not macth with name on Master Table",""),"Name OK")</f>
      </c>
      <c r="D34" t="s" s="147">
        <v>1226</v>
      </c>
      <c r="E34" t="s" s="147">
        <v>1565</v>
      </c>
    </row>
    <row r="35" spans="1:5">
      <c r="A35" t="s" s="95">
        <v>514</v>
      </c>
      <c r="B35" t="s" s="59">
        <v>1055</v>
      </c>
      <c r="C35" s="94">
        <f>IF(ISERROR(VLOOKUP(A35,#REF!,1,0)),IF(A35&lt;&gt;"","Name does not macth with name on Master Table",""),"Name OK")</f>
      </c>
      <c r="D35" t="s" s="147">
        <v>1226</v>
      </c>
      <c r="E35" t="s" s="147">
        <v>478</v>
      </c>
    </row>
    <row r="36" spans="1:5">
      <c r="A36" s="147"/>
      <c r="B36" s="105"/>
      <c r="C36" s="94"/>
      <c r="D36" s="147"/>
      <c r="E36" s="147"/>
    </row>
    <row r="37" spans="1:5">
      <c r="A37" s="147"/>
      <c r="B37" s="105"/>
      <c r="C37" s="94"/>
      <c r="D37" s="147"/>
      <c r="E37" s="147"/>
    </row>
    <row r="38" spans="1:5">
      <c r="A38" s="147"/>
      <c r="B38" s="105"/>
      <c r="C38" s="94"/>
      <c r="D38" s="147"/>
      <c r="E38" s="147"/>
    </row>
    <row r="39" spans="1:5">
      <c r="A39" s="147"/>
      <c r="B39" s="105"/>
      <c r="C39" s="94"/>
      <c r="D39" s="147"/>
      <c r="E39" s="147"/>
    </row>
    <row r="40" spans="1:5">
      <c r="A40" s="147"/>
      <c r="B40" s="105"/>
      <c r="C40" s="94">
        <f>IF(ISERROR(VLOOKUP(A40,#REF!,1,0)),IF(A40&lt;&gt;"","Name does not macth with name on Master Table",""),"Name OK")</f>
      </c>
      <c r="D40" s="147"/>
      <c r="E40" s="147"/>
    </row>
    <row r="41" spans="1:5">
      <c r="A41" s="147"/>
      <c r="B41" s="105"/>
      <c r="C41" s="94">
        <f>IF(ISERROR(VLOOKUP(A41,#REF!,1,0)),IF(A41&lt;&gt;"","Name does not macth with name on Master Table",""),"Name OK")</f>
      </c>
      <c r="D41" s="147"/>
      <c r="E41" s="147"/>
    </row>
    <row r="42" spans="1:5">
      <c r="A42" s="147"/>
      <c r="B42" s="105"/>
      <c r="C42" s="94">
        <f>IF(ISERROR(VLOOKUP(A42,#REF!,1,0)),IF(A42&lt;&gt;"","Name does not macth with name on Master Table",""),"Name OK")</f>
      </c>
      <c r="D42" s="147"/>
      <c r="E42" s="147"/>
    </row>
    <row r="43" spans="1:5">
      <c r="A43" s="147"/>
      <c r="B43" s="105"/>
      <c r="C43" s="94">
        <f>IF(ISERROR(VLOOKUP(A43,#REF!,1,0)),IF(A43&lt;&gt;"","Name does not macth with name on Master Table",""),"Name OK")</f>
      </c>
      <c r="D43" s="147"/>
      <c r="E43" s="147"/>
    </row>
    <row r="44" spans="1:5">
      <c r="A44" s="147"/>
      <c r="B44" s="105"/>
      <c r="C44" s="94">
        <f>IF(ISERROR(VLOOKUP(A44,#REF!,1,0)),IF(A44&lt;&gt;"","Name does not macth with name on Master Table",""),"Name OK")</f>
      </c>
      <c r="D44" s="147"/>
      <c r="E44" s="147"/>
    </row>
    <row r="45" spans="1:5">
      <c r="A45" s="147"/>
      <c r="B45" s="105"/>
      <c r="C45" s="94">
        <f>IF(ISERROR(VLOOKUP(A45,#REF!,1,0)),IF(A45&lt;&gt;"","Name does not macth with name on Master Table",""),"Name OK")</f>
      </c>
      <c r="D45" s="147"/>
      <c r="E45" s="147"/>
    </row>
    <row r="46" spans="1:5">
      <c r="A46" s="147"/>
      <c r="B46" s="105"/>
      <c r="C46" s="94">
        <f>IF(ISERROR(VLOOKUP(A46,#REF!,1,0)),IF(A46&lt;&gt;"","Name does not macth with name on Master Table",""),"Name OK")</f>
      </c>
      <c r="D46" s="147"/>
      <c r="E46" s="147"/>
    </row>
    <row r="47" spans="1:5">
      <c r="A47" s="147"/>
      <c r="B47" s="105"/>
      <c r="C47" s="94">
        <f>IF(ISERROR(VLOOKUP(A47,#REF!,1,0)),IF(A47&lt;&gt;"","Name does not macth with name on Master Table",""),"Name OK")</f>
      </c>
      <c r="D47" s="147"/>
      <c r="E47" s="147"/>
    </row>
    <row r="48" spans="1:5">
      <c r="A48" s="147"/>
      <c r="B48" s="105"/>
      <c r="C48" s="94">
        <f>IF(ISERROR(VLOOKUP(A48,#REF!,1,0)),IF(A48&lt;&gt;"","Name does not macth with name on Master Table",""),"Name OK")</f>
      </c>
      <c r="D48" s="147"/>
      <c r="E48" s="147"/>
    </row>
    <row r="49" spans="1:5">
      <c r="A49" s="147"/>
      <c r="B49" s="105"/>
      <c r="C49" s="94">
        <f>IF(ISERROR(VLOOKUP(A49,#REF!,1,0)),IF(A49&lt;&gt;"","Name does not macth with name on Master Table",""),"Name OK")</f>
      </c>
      <c r="D49" s="147"/>
      <c r="E49" s="147"/>
    </row>
    <row r="50" spans="1:5">
      <c r="A50" s="147"/>
      <c r="B50" s="105"/>
      <c r="C50" s="94">
        <f>IF(ISERROR(VLOOKUP(A50,#REF!,1,0)),IF(A50&lt;&gt;"","Name does not macth with name on Master Table",""),"Name OK")</f>
      </c>
      <c r="D50" s="147"/>
      <c r="E50" s="147"/>
    </row>
  </sheetData>
  <conditionalFormatting sqref="C2:C50">
    <cfRule type="expression" dxfId="38" priority="1" stopIfTrue="1">
      <formula>IF(C2="Name OK",TRUE,FALSE)</formula>
    </cfRule>
    <cfRule type="expression" dxfId="37" priority="2" stopIfTrue="1">
      <formula>IF(C2="",FALSE,TRUE)</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alues_List">
    <tabColor rgb="FFFFC000"/>
  </sheetPr>
  <sheetViews>
    <sheetView topLeftCell="Q1" zoomScaleNormal="100" zoomScaleSheetLayoutView="100" workbookViewId="0">
      <selection activeCell="Q9" sqref="Q9"/>
    </sheetView>
  </sheetViews>
  <sheetFormatPr baseColWidth="10" defaultColWidth="9.1640625" defaultRowHeight="15"/>
  <cols>
    <col min="1" max="1" width="13.83203125" customWidth="1"/>
    <col min="2" max="2" width="16" customWidth="1"/>
    <col min="3" max="3" width="26" customWidth="1"/>
    <col min="4" max="4" width="23" customWidth="1"/>
    <col min="5" max="5" width="39.5" customWidth="1"/>
    <col min="6" max="6" width="31.1640625" customWidth="1"/>
    <col min="7" max="7" width="36.83203125" customWidth="1"/>
    <col min="8" max="8" width="23" customWidth="1"/>
    <col min="9" max="9" width="31" customWidth="1"/>
    <col min="10" max="10" width="16" customWidth="1"/>
    <col min="11" max="11" width="11.5" customWidth="1"/>
    <col min="12" max="12" width="46.33203125" customWidth="1"/>
    <col min="13" max="13" width="23" customWidth="1"/>
    <col min="14" max="14" width="15.83203125" customWidth="1"/>
    <col min="15" max="15" width="15" customWidth="1"/>
    <col min="16" max="16" width="24.83203125" customWidth="1"/>
    <col min="17" max="17" width="34.6640625" customWidth="1"/>
    <col min="18" max="18" width="24.5" customWidth="1"/>
    <col min="19" max="21" width="17.5" customWidth="1"/>
    <col min="22" max="22" width="31.6640625" customWidth="1"/>
    <col min="23" max="26" width="14" customWidth="1"/>
    <col min="27" max="27" width="23.1640625" customWidth="1"/>
    <col min="28" max="28" width="24.5" customWidth="1"/>
    <col min="29" max="29" width="14.33203125" customWidth="1"/>
    <col min="30" max="30" width="34.33203125" customWidth="1"/>
    <col min="31" max="31" width="11.1640625" customWidth="1"/>
    <col min="32" max="32" width="34.5" customWidth="1"/>
    <col min="33" max="33" width="22" customWidth="1"/>
    <col min="34" max="34" width="42.1640625" customWidth="1"/>
    <col min="35" max="36" width="24" customWidth="1"/>
    <col min="37" max="37" width="20.5" customWidth="1"/>
    <col min="38" max="38" width="15.33203125" customWidth="1"/>
    <col min="39" max="39" width="15.6640625" customWidth="1"/>
    <col min="40" max="41" width="16.5" customWidth="1"/>
    <col min="42" max="42" width="13.33203125" customWidth="1"/>
    <col min="43" max="43" width="27.6640625" customWidth="1"/>
    <col min="44" max="44" width="23.5" customWidth="1"/>
    <col min="45" max="45" width="13.33203125" customWidth="1"/>
    <col min="46" max="46" width="9.1640625" customWidth="1"/>
    <col min="47" max="47" width="22.83203125" customWidth="1"/>
    <col min="48" max="48" width="26.6640625" customWidth="1"/>
    <col min="49" max="49" width="19.33203125" customWidth="1"/>
    <col min="50" max="51" width="23.5" customWidth="1"/>
    <col min="52" max="53" width="20.1640625" customWidth="1"/>
    <col min="54" max="54" width="17.5" customWidth="1"/>
    <col min="55" max="55" width="18.5" customWidth="1"/>
  </cols>
  <sheetData>
    <row r="1" spans="1:54" s="161" customFormat="1" ht="48">
      <c r="A1" t="s" s="161">
        <v>25</v>
      </c>
      <c r="B1" t="s" s="161">
        <v>588</v>
      </c>
      <c r="C1" t="s" s="161">
        <v>665</v>
      </c>
      <c r="D1" t="s" s="161">
        <v>340</v>
      </c>
      <c r="E1" t="s" s="161">
        <v>1531</v>
      </c>
      <c r="F1" t="s" s="161">
        <v>691</v>
      </c>
      <c r="G1" t="s" s="186">
        <v>911</v>
      </c>
      <c r="H1" t="s" s="161">
        <v>380</v>
      </c>
      <c r="I1" t="s" s="161">
        <v>799</v>
      </c>
      <c r="J1" t="s" s="161">
        <v>655</v>
      </c>
      <c r="K1" t="s" s="161">
        <v>1274</v>
      </c>
      <c r="L1" t="s" s="161">
        <v>806</v>
      </c>
      <c r="M1" t="s" s="161">
        <v>1513</v>
      </c>
      <c r="N1" t="s" s="161">
        <v>1153</v>
      </c>
      <c r="O1" t="s" s="161">
        <v>1529</v>
      </c>
      <c r="P1" t="s" s="161">
        <v>1751</v>
      </c>
      <c r="Q1" t="s" s="161">
        <v>590</v>
      </c>
      <c r="R1" t="s" s="161">
        <v>283</v>
      </c>
      <c r="S1" t="s" s="161">
        <v>850</v>
      </c>
      <c r="T1" t="s" s="161">
        <v>312</v>
      </c>
      <c r="U1" t="s" s="161">
        <v>349</v>
      </c>
      <c r="V1" t="s" s="161">
        <v>1534</v>
      </c>
      <c r="W1" t="s" s="161">
        <v>1738</v>
      </c>
      <c r="X1" t="s" s="161">
        <v>1804</v>
      </c>
      <c r="Y1" t="s" s="161">
        <v>220</v>
      </c>
      <c r="Z1" t="s" s="161">
        <v>1331</v>
      </c>
      <c r="AA1" t="s" s="161">
        <v>1433</v>
      </c>
      <c r="AB1" t="s" s="161">
        <v>1077</v>
      </c>
      <c r="AC1" t="s" s="161">
        <v>1139</v>
      </c>
      <c r="AD1" t="s" s="161">
        <v>425</v>
      </c>
      <c r="AE1" t="s" s="161">
        <v>239</v>
      </c>
      <c r="AF1" t="s" s="161">
        <v>34</v>
      </c>
      <c r="AG1" t="s" s="161">
        <v>1455</v>
      </c>
      <c r="AH1" t="s" s="161">
        <v>130</v>
      </c>
      <c r="AI1" t="s" s="161">
        <v>1960</v>
      </c>
      <c r="AJ1" t="s" s="161">
        <v>1415</v>
      </c>
      <c r="AK1" t="s" s="161">
        <v>1636</v>
      </c>
      <c r="AL1" t="s" s="161">
        <v>717</v>
      </c>
      <c r="AM1" t="s" s="161">
        <v>1273</v>
      </c>
      <c r="AN1" t="s" s="161">
        <v>50</v>
      </c>
      <c r="AO1" t="s" s="161">
        <v>16</v>
      </c>
      <c r="AP1" t="s" s="161">
        <v>1114</v>
      </c>
      <c r="AQ1" t="s" s="161">
        <v>80</v>
      </c>
      <c r="AR1" t="s" s="161">
        <v>770</v>
      </c>
      <c r="AS1" t="s" s="161">
        <v>937</v>
      </c>
      <c r="AT1" t="s" s="161">
        <v>1074</v>
      </c>
      <c r="AU1" t="s" s="161">
        <v>594</v>
      </c>
      <c r="AV1" t="s" s="161">
        <v>999</v>
      </c>
      <c r="AW1" t="s" s="161">
        <v>1788</v>
      </c>
      <c r="AX1" t="s" s="161">
        <v>1003</v>
      </c>
      <c r="AY1" t="s" s="161">
        <v>175</v>
      </c>
      <c r="AZ1" t="s" s="161">
        <v>1120</v>
      </c>
      <c r="BA1" t="s" s="161">
        <v>710</v>
      </c>
      <c r="BB1" t="s" s="161">
        <v>1084</v>
      </c>
    </row>
    <row r="2" spans="1:54" ht="16">
      <c r="A2" t="s">
        <v>741</v>
      </c>
      <c r="B2" t="s">
        <v>1560</v>
      </c>
      <c r="C2" t="s" s="43">
        <v>673</v>
      </c>
      <c r="D2" t="s">
        <v>599</v>
      </c>
      <c r="E2" t="s" s="75">
        <v>617</v>
      </c>
      <c r="F2" t="s" s="56">
        <v>1652</v>
      </c>
      <c r="G2" t="s" s="85">
        <v>1850</v>
      </c>
      <c r="H2" t="s" s="43">
        <v>1825</v>
      </c>
      <c r="I2" t="s">
        <v>1339</v>
      </c>
      <c r="J2" t="s">
        <v>1792</v>
      </c>
      <c r="K2" t="s">
        <v>1183</v>
      </c>
      <c r="L2" t="s" s="14">
        <v>1213</v>
      </c>
      <c r="M2" t="s">
        <v>1029</v>
      </c>
      <c r="N2" t="s">
        <v>1448</v>
      </c>
      <c r="O2" t="s">
        <v>1457</v>
      </c>
      <c r="P2" t="s" s="11">
        <v>128</v>
      </c>
      <c r="Q2" t="s">
        <v>1748</v>
      </c>
      <c r="R2" t="s">
        <v>864</v>
      </c>
      <c r="S2" t="s" s="101">
        <v>1487</v>
      </c>
      <c r="T2" t="s" s="101">
        <v>1487</v>
      </c>
      <c r="U2" t="s" s="101">
        <v>1487</v>
      </c>
      <c r="V2" t="s" s="195">
        <v>1365</v>
      </c>
      <c r="W2" t="s" s="101">
        <v>1487</v>
      </c>
      <c r="X2" t="s" s="101">
        <v>1487</v>
      </c>
      <c r="Y2" t="s" s="101">
        <v>1487</v>
      </c>
      <c r="Z2" t="s" s="101">
        <v>1487</v>
      </c>
      <c r="AA2" t="s" s="54">
        <v>1391</v>
      </c>
      <c r="AB2" t="s" s="40">
        <v>734</v>
      </c>
      <c r="AC2" t="s">
        <v>1564</v>
      </c>
      <c r="AD2" t="s" s="203">
        <v>1455</v>
      </c>
      <c r="AE2" t="s">
        <v>1601</v>
      </c>
      <c r="AF2" t="s" s="54">
        <v>594</v>
      </c>
      <c r="AG2" t="s">
        <v>1020</v>
      </c>
      <c r="AH2" t="s" s="203">
        <v>1564</v>
      </c>
      <c r="AI2" t="s" s="138">
        <v>405</v>
      </c>
      <c r="AJ2" t="s">
        <v>739</v>
      </c>
      <c r="AK2" t="s">
        <v>1377</v>
      </c>
      <c r="AL2" t="s">
        <v>503</v>
      </c>
      <c r="AM2" t="s">
        <v>251</v>
      </c>
      <c r="AN2" t="s">
        <v>1752</v>
      </c>
      <c r="AO2" t="s">
        <v>1676</v>
      </c>
      <c r="AP2" t="s">
        <v>1486</v>
      </c>
      <c r="AQ2" t="s">
        <v>922</v>
      </c>
      <c r="AR2" t="s">
        <v>513</v>
      </c>
      <c r="AS2" t="s">
        <v>739</v>
      </c>
      <c r="AT2" t="s">
        <v>739</v>
      </c>
      <c r="AU2" t="s" s="9">
        <v>978</v>
      </c>
      <c r="AV2" t="s" s="208">
        <v>200</v>
      </c>
      <c r="AW2" t="s">
        <v>1564</v>
      </c>
      <c r="AX2" t="s">
        <v>1564</v>
      </c>
      <c r="AY2" t="s" s="21">
        <v>629</v>
      </c>
      <c r="AZ2" t="s">
        <v>1117</v>
      </c>
      <c r="BA2" t="s">
        <v>721</v>
      </c>
      <c r="BB2" t="s">
        <v>92</v>
      </c>
    </row>
    <row r="3" spans="1:54" ht="16">
      <c r="A3" t="s">
        <v>1482</v>
      </c>
      <c r="B3" t="s">
        <v>303</v>
      </c>
      <c r="C3" t="s" s="43">
        <v>1325</v>
      </c>
      <c r="D3" t="s">
        <v>1713</v>
      </c>
      <c r="E3" t="s" s="75">
        <v>900</v>
      </c>
      <c r="F3" t="s" s="163">
        <v>1824</v>
      </c>
      <c r="G3" t="s" s="169">
        <v>549</v>
      </c>
      <c r="H3" t="s" s="43">
        <v>877</v>
      </c>
      <c r="I3" t="s">
        <v>21</v>
      </c>
      <c r="J3" t="s">
        <v>223</v>
      </c>
      <c r="K3" t="s">
        <v>24</v>
      </c>
      <c r="L3" t="s" s="14">
        <v>447</v>
      </c>
      <c r="M3" t="s">
        <v>226</v>
      </c>
      <c r="N3" t="s">
        <v>1654</v>
      </c>
      <c r="O3" t="s">
        <v>966</v>
      </c>
      <c r="P3" t="s" s="11">
        <v>658</v>
      </c>
      <c r="Q3" t="s">
        <v>1499</v>
      </c>
      <c r="R3" t="s">
        <v>1822</v>
      </c>
      <c r="S3" t="s" s="101">
        <v>1606</v>
      </c>
      <c r="T3" t="s" s="101">
        <v>1606</v>
      </c>
      <c r="U3" t="s" s="101">
        <v>1606</v>
      </c>
      <c r="V3" t="s">
        <v>1583</v>
      </c>
      <c r="W3" t="s" s="101">
        <v>1606</v>
      </c>
      <c r="X3" t="s" s="101">
        <v>1606</v>
      </c>
      <c r="Y3" t="s" s="101">
        <v>1606</v>
      </c>
      <c r="Z3" t="s" s="101">
        <v>1606</v>
      </c>
      <c r="AA3" t="s" s="54">
        <v>1618</v>
      </c>
      <c r="AB3" t="s" s="40">
        <v>8</v>
      </c>
      <c r="AC3" t="s">
        <v>965</v>
      </c>
      <c r="AD3" t="s">
        <v>1636</v>
      </c>
      <c r="AE3" t="s">
        <v>1095</v>
      </c>
      <c r="AF3" t="s" s="54">
        <v>717</v>
      </c>
      <c r="AG3" t="s">
        <v>748</v>
      </c>
      <c r="AH3" t="s" s="203">
        <v>965</v>
      </c>
      <c r="AI3" t="s" s="138">
        <v>1167</v>
      </c>
      <c r="AJ3" s="203"/>
      <c r="AK3" t="s">
        <v>1041</v>
      </c>
      <c r="AL3" t="s">
        <v>422</v>
      </c>
      <c r="AM3" t="s">
        <v>831</v>
      </c>
      <c r="AN3" t="s">
        <v>278</v>
      </c>
      <c r="AO3" t="s">
        <v>475</v>
      </c>
      <c r="AP3" t="s">
        <v>148</v>
      </c>
      <c r="AQ3" t="s">
        <v>810</v>
      </c>
      <c r="AR3" t="s">
        <v>1366</v>
      </c>
      <c r="AU3" t="s" s="9">
        <v>238</v>
      </c>
      <c r="AV3" t="s" s="43">
        <v>32</v>
      </c>
      <c r="AW3" t="s">
        <v>965</v>
      </c>
      <c r="AX3" t="s">
        <v>965</v>
      </c>
      <c r="AY3" t="s" s="21">
        <v>1141</v>
      </c>
      <c r="AZ3" t="s">
        <v>1551</v>
      </c>
      <c r="BA3" t="s">
        <v>52</v>
      </c>
    </row>
    <row r="4" spans="1:54" ht="16">
      <c r="A4" t="s">
        <v>860</v>
      </c>
      <c r="B4" t="s">
        <v>1071</v>
      </c>
      <c r="C4" t="s" s="43">
        <v>535</v>
      </c>
      <c r="D4" t="s">
        <v>750</v>
      </c>
      <c r="E4" t="s" s="75">
        <v>263</v>
      </c>
      <c r="F4" t="s" s="163">
        <v>780</v>
      </c>
      <c r="G4" t="s" s="86">
        <v>1164</v>
      </c>
      <c r="H4" t="s" s="43">
        <v>1700</v>
      </c>
      <c r="I4" t="s">
        <v>1050</v>
      </c>
      <c r="J4" t="s">
        <v>216</v>
      </c>
      <c r="K4" t="s">
        <v>490</v>
      </c>
      <c r="L4" t="s" s="14">
        <v>1397</v>
      </c>
      <c r="N4" t="s">
        <v>117</v>
      </c>
      <c r="O4" t="s">
        <v>1510</v>
      </c>
      <c r="P4" t="s" s="11">
        <v>1689</v>
      </c>
      <c r="Q4" t="s">
        <v>1446</v>
      </c>
      <c r="R4" t="s">
        <v>95</v>
      </c>
      <c r="S4" t="s" s="101">
        <v>178</v>
      </c>
      <c r="T4" t="s" s="101">
        <v>178</v>
      </c>
      <c r="U4" t="s" s="101">
        <v>178</v>
      </c>
      <c r="V4" t="s">
        <v>506</v>
      </c>
      <c r="W4" t="s" s="101">
        <v>178</v>
      </c>
      <c r="X4" t="s" s="101">
        <v>178</v>
      </c>
      <c r="Y4" t="s" s="101">
        <v>178</v>
      </c>
      <c r="Z4" t="s" s="101">
        <v>178</v>
      </c>
      <c r="AA4" t="s" s="54">
        <v>468</v>
      </c>
      <c r="AB4" t="s" s="40">
        <v>281</v>
      </c>
      <c r="AC4" t="s">
        <v>1735</v>
      </c>
      <c r="AD4" t="s">
        <v>937</v>
      </c>
      <c r="AE4" t="s">
        <v>763</v>
      </c>
      <c r="AF4" t="s" s="54">
        <v>1273</v>
      </c>
      <c r="AG4" t="s">
        <v>640</v>
      </c>
      <c r="AH4" t="s" s="203">
        <v>1735</v>
      </c>
      <c r="AI4" t="s" s="138">
        <v>649</v>
      </c>
      <c r="AJ4" s="203"/>
      <c r="AK4" t="s">
        <v>1742</v>
      </c>
      <c r="AL4" t="s">
        <v>74</v>
      </c>
      <c r="AN4" t="s">
        <v>905</v>
      </c>
      <c r="AO4" t="s">
        <v>123</v>
      </c>
      <c r="AP4" t="s">
        <v>1122</v>
      </c>
      <c r="AQ4" t="s">
        <v>1834</v>
      </c>
      <c r="AR4" t="s">
        <v>361</v>
      </c>
      <c r="AU4" t="s" s="9">
        <v>1227</v>
      </c>
      <c r="AV4" t="s" s="43">
        <v>33</v>
      </c>
      <c r="AW4" t="s">
        <v>620</v>
      </c>
      <c r="AX4" t="s">
        <v>620</v>
      </c>
      <c r="AY4" t="s" s="21">
        <v>6</v>
      </c>
      <c r="BA4" t="s">
        <v>713</v>
      </c>
    </row>
    <row r="5" spans="1:54" ht="16">
      <c r="A5" s="132"/>
      <c r="C5" t="s" s="43">
        <v>326</v>
      </c>
      <c r="D5" t="s">
        <v>253</v>
      </c>
      <c r="E5" t="s" s="75">
        <v>576</v>
      </c>
      <c r="F5" t="s" s="163">
        <v>321</v>
      </c>
      <c r="G5" t="s" s="56">
        <v>269</v>
      </c>
      <c r="H5" t="s" s="43">
        <v>677</v>
      </c>
      <c r="L5" t="s" s="14">
        <v>143</v>
      </c>
      <c r="O5" t="s">
        <v>428</v>
      </c>
      <c r="P5" t="s" s="11">
        <v>1456</v>
      </c>
      <c r="Q5" t="s">
        <v>1693</v>
      </c>
      <c r="R5" t="s" s="21">
        <v>1517</v>
      </c>
      <c r="S5" t="s" s="101">
        <v>856</v>
      </c>
      <c r="T5" t="s" s="101">
        <v>856</v>
      </c>
      <c r="U5" t="s" s="101">
        <v>856</v>
      </c>
      <c r="V5" t="s">
        <v>1715</v>
      </c>
      <c r="W5" t="s" s="101">
        <v>856</v>
      </c>
      <c r="X5" t="s" s="101">
        <v>856</v>
      </c>
      <c r="Y5" t="s" s="101">
        <v>856</v>
      </c>
      <c r="Z5" t="s" s="101">
        <v>856</v>
      </c>
      <c r="AA5" t="s" s="54">
        <v>777</v>
      </c>
      <c r="AB5" t="s" s="40">
        <v>192</v>
      </c>
      <c r="AC5" t="s">
        <v>1612</v>
      </c>
      <c r="AD5" t="s" s="198">
        <v>594</v>
      </c>
      <c r="AE5" t="s">
        <v>86</v>
      </c>
      <c r="AF5" t="s" s="203">
        <v>130</v>
      </c>
      <c r="AG5" t="s">
        <v>243</v>
      </c>
      <c r="AH5" t="s" s="203">
        <v>1612</v>
      </c>
      <c r="AI5" t="s" s="138">
        <v>1627</v>
      </c>
      <c r="AJ5" s="203"/>
      <c r="AK5" t="s">
        <v>145</v>
      </c>
      <c r="AL5" t="s">
        <v>1260</v>
      </c>
      <c r="AN5" t="s">
        <v>809</v>
      </c>
      <c r="AO5" t="s">
        <v>725</v>
      </c>
      <c r="AP5" t="s">
        <v>1759</v>
      </c>
      <c r="AQ5" t="s">
        <v>1261</v>
      </c>
      <c r="AR5" t="s">
        <v>1201</v>
      </c>
      <c r="AU5" t="s" s="9">
        <v>1777</v>
      </c>
      <c r="AV5" t="s">
        <v>823</v>
      </c>
      <c r="AW5" t="s">
        <v>739</v>
      </c>
      <c r="AX5" t="s">
        <v>739</v>
      </c>
      <c r="AY5" t="s" s="21">
        <v>121</v>
      </c>
      <c r="BA5" t="s">
        <v>481</v>
      </c>
    </row>
    <row r="6" spans="1:54" ht="16">
      <c r="A6" s="132"/>
      <c r="C6" t="s" s="43">
        <v>1720</v>
      </c>
      <c r="D6" t="s">
        <v>498</v>
      </c>
      <c r="E6" t="s" s="75">
        <v>1340</v>
      </c>
      <c r="F6" t="s" s="9">
        <v>918</v>
      </c>
      <c r="G6" t="s" s="6">
        <v>1322</v>
      </c>
      <c r="H6" t="s" s="43">
        <v>1603</v>
      </c>
      <c r="L6" t="s" s="14">
        <v>654</v>
      </c>
      <c r="O6" t="s">
        <v>1044</v>
      </c>
      <c r="P6" t="s" s="11">
        <v>1040</v>
      </c>
      <c r="Q6" t="s">
        <v>1629</v>
      </c>
      <c r="R6" t="s" s="21">
        <v>347</v>
      </c>
      <c r="S6" t="s" s="101">
        <v>846</v>
      </c>
      <c r="T6" t="s" s="101">
        <v>846</v>
      </c>
      <c r="U6" t="s" s="101">
        <v>846</v>
      </c>
      <c r="V6" t="s" s="195">
        <v>1298</v>
      </c>
      <c r="W6" t="s" s="101">
        <v>846</v>
      </c>
      <c r="X6" t="s" s="101">
        <v>846</v>
      </c>
      <c r="Y6" t="s" s="101">
        <v>846</v>
      </c>
      <c r="Z6" t="s" s="101">
        <v>846</v>
      </c>
      <c r="AA6" t="s" s="54">
        <v>182</v>
      </c>
      <c r="AB6" t="s" s="40">
        <v>926</v>
      </c>
      <c r="AC6" t="s">
        <v>177</v>
      </c>
      <c r="AD6" t="s">
        <v>717</v>
      </c>
      <c r="AE6" t="s">
        <v>1527</v>
      </c>
      <c r="AF6" t="s" s="54">
        <v>999</v>
      </c>
      <c r="AG6" t="s" s="203">
        <v>177</v>
      </c>
      <c r="AH6" t="s" s="203">
        <v>177</v>
      </c>
      <c r="AI6" t="s" s="138">
        <v>787</v>
      </c>
      <c r="AJ6" s="203"/>
      <c r="AK6" t="s">
        <v>616</v>
      </c>
      <c r="AL6" t="s">
        <v>1302</v>
      </c>
      <c r="AN6" t="s">
        <v>448</v>
      </c>
      <c r="AO6" t="s">
        <v>364</v>
      </c>
      <c r="AP6" t="s">
        <v>959</v>
      </c>
      <c r="AQ6" t="s">
        <v>1683</v>
      </c>
      <c r="AR6" t="s">
        <v>1341</v>
      </c>
      <c r="AU6" t="s" s="9">
        <v>598</v>
      </c>
      <c r="AV6" t="s" s="242">
        <v>1578</v>
      </c>
      <c r="AY6" t="s" s="21">
        <v>118</v>
      </c>
    </row>
    <row r="7" spans="1:54" ht="16">
      <c r="C7" t="s" s="43">
        <v>1244</v>
      </c>
      <c r="D7" t="s">
        <v>1238</v>
      </c>
      <c r="E7" t="s" s="75">
        <v>1187</v>
      </c>
      <c r="F7" t="s" s="5">
        <v>480</v>
      </c>
      <c r="G7" t="s" s="169">
        <v>1767</v>
      </c>
      <c r="H7" t="s" s="43">
        <v>1398</v>
      </c>
      <c r="L7" t="s" s="14">
        <v>1142</v>
      </c>
      <c r="O7" t="s">
        <v>1458</v>
      </c>
      <c r="P7" t="s" s="11">
        <v>1722</v>
      </c>
      <c r="Q7" t="s">
        <v>1278</v>
      </c>
      <c r="R7" t="s" s="21">
        <v>715</v>
      </c>
      <c r="S7" t="s" s="101">
        <v>757</v>
      </c>
      <c r="T7" t="s" s="101">
        <v>757</v>
      </c>
      <c r="U7" t="s" s="101">
        <v>757</v>
      </c>
      <c r="W7" t="s" s="101">
        <v>757</v>
      </c>
      <c r="X7" t="s" s="101">
        <v>757</v>
      </c>
      <c r="Y7" t="s" s="101">
        <v>757</v>
      </c>
      <c r="Z7" t="s" s="101">
        <v>757</v>
      </c>
      <c r="AA7" t="s" s="54">
        <v>1170</v>
      </c>
      <c r="AB7" t="s" s="40">
        <v>1524</v>
      </c>
      <c r="AC7" t="s">
        <v>1668</v>
      </c>
      <c r="AD7" t="s">
        <v>1273</v>
      </c>
      <c r="AE7" t="s">
        <v>1628</v>
      </c>
      <c r="AF7" t="s" s="54">
        <v>1788</v>
      </c>
      <c r="AG7" t="s" s="203">
        <v>1668</v>
      </c>
      <c r="AH7" t="s" s="203">
        <v>1668</v>
      </c>
      <c r="AI7" t="s" s="138">
        <v>739</v>
      </c>
      <c r="AJ7" s="203"/>
      <c r="AK7" t="s">
        <v>1776</v>
      </c>
      <c r="AL7" t="s">
        <v>124</v>
      </c>
      <c r="AN7" t="s" s="18">
        <v>1127</v>
      </c>
      <c r="AO7" t="s">
        <v>739</v>
      </c>
      <c r="AP7" t="s">
        <v>1639</v>
      </c>
      <c r="AQ7" t="s">
        <v>1696</v>
      </c>
      <c r="AR7" t="s">
        <v>486</v>
      </c>
      <c r="AU7" t="s" s="9">
        <v>1354</v>
      </c>
      <c r="AV7" t="s">
        <v>1592</v>
      </c>
      <c r="AY7" t="s" s="21">
        <v>1292</v>
      </c>
    </row>
    <row r="8" spans="1:54" ht="16">
      <c r="C8" t="s" s="43">
        <v>1839</v>
      </c>
      <c r="D8" t="s">
        <v>844</v>
      </c>
      <c r="E8" t="s" s="75">
        <v>39</v>
      </c>
      <c r="F8" t="s">
        <v>184</v>
      </c>
      <c r="G8" t="s" s="85">
        <v>742</v>
      </c>
      <c r="H8" t="s" s="43">
        <v>1492</v>
      </c>
      <c r="L8" t="s" s="14">
        <v>1673</v>
      </c>
      <c r="O8" t="s">
        <v>993</v>
      </c>
      <c r="P8" t="s" s="11">
        <v>530</v>
      </c>
      <c r="Q8" t="s">
        <v>559</v>
      </c>
      <c r="R8" t="s" s="21">
        <v>567</v>
      </c>
      <c r="S8" t="s" s="101">
        <v>522</v>
      </c>
      <c r="T8" t="s" s="101">
        <v>522</v>
      </c>
      <c r="U8" t="s" s="101">
        <v>522</v>
      </c>
      <c r="W8" t="s" s="101">
        <v>522</v>
      </c>
      <c r="X8" t="s" s="101">
        <v>522</v>
      </c>
      <c r="Y8" t="s" s="101">
        <v>522</v>
      </c>
      <c r="Z8" t="s" s="101">
        <v>522</v>
      </c>
      <c r="AA8" t="s" s="54">
        <v>935</v>
      </c>
      <c r="AB8" t="s" s="40">
        <v>705</v>
      </c>
      <c r="AC8" t="s">
        <v>1760</v>
      </c>
      <c r="AD8" t="s" s="44">
        <v>999</v>
      </c>
      <c r="AE8" t="s">
        <v>82</v>
      </c>
      <c r="AF8" t="s" s="54">
        <v>1003</v>
      </c>
      <c r="AG8" t="s" s="203">
        <v>1217</v>
      </c>
      <c r="AH8" t="s" s="203">
        <v>1217</v>
      </c>
      <c r="AI8" s="203"/>
      <c r="AJ8" s="203"/>
      <c r="AK8" t="s">
        <v>342</v>
      </c>
      <c r="AL8" t="s">
        <v>1692</v>
      </c>
      <c r="AN8" t="s" s="18">
        <v>1680</v>
      </c>
      <c r="AP8" t="s">
        <v>1008</v>
      </c>
      <c r="AQ8" t="s">
        <v>739</v>
      </c>
      <c r="AR8" t="s">
        <v>488</v>
      </c>
      <c r="AU8" t="s" s="9">
        <v>722</v>
      </c>
      <c r="AV8" t="s">
        <v>1143</v>
      </c>
      <c r="AY8" t="s" s="21">
        <v>739</v>
      </c>
    </row>
    <row r="9" spans="1:54">
      <c r="C9" t="s" s="43">
        <v>1719</v>
      </c>
      <c r="D9" t="s">
        <v>1466</v>
      </c>
      <c r="F9" t="s">
        <v>414</v>
      </c>
      <c r="G9" t="s" s="177">
        <v>1501</v>
      </c>
      <c r="H9" t="s" s="43">
        <v>866</v>
      </c>
      <c r="L9" t="s" s="14">
        <v>470</v>
      </c>
      <c r="O9" t="s">
        <v>1124</v>
      </c>
      <c r="P9" t="s" s="11">
        <v>1315</v>
      </c>
      <c r="Q9" t="s">
        <v>205</v>
      </c>
      <c r="R9" t="s" s="21">
        <v>1543</v>
      </c>
      <c r="S9" t="s" s="101">
        <v>1091</v>
      </c>
      <c r="T9" t="s" s="101">
        <v>1091</v>
      </c>
      <c r="U9" t="s" s="101">
        <v>1091</v>
      </c>
      <c r="W9" t="s" s="101">
        <v>1091</v>
      </c>
      <c r="X9" t="s" s="101">
        <v>1091</v>
      </c>
      <c r="Y9" t="s" s="101">
        <v>1091</v>
      </c>
      <c r="Z9" t="s" s="101">
        <v>1091</v>
      </c>
      <c r="AA9" t="s" s="54">
        <v>847</v>
      </c>
      <c r="AB9" t="s" s="40">
        <v>1593</v>
      </c>
      <c r="AC9" t="s">
        <v>1217</v>
      </c>
      <c r="AD9" t="s" s="144">
        <v>1788</v>
      </c>
      <c r="AE9" t="s">
        <v>632</v>
      </c>
      <c r="AF9" t="s" s="54">
        <v>1415</v>
      </c>
      <c r="AG9" t="s" s="203">
        <v>1476</v>
      </c>
      <c r="AH9" t="s" s="19">
        <v>135</v>
      </c>
      <c r="AI9" s="203"/>
      <c r="AJ9" s="203"/>
      <c r="AK9" t="s">
        <v>1613</v>
      </c>
      <c r="AL9" t="s">
        <v>1576</v>
      </c>
      <c r="AP9" t="s">
        <v>159</v>
      </c>
      <c r="AR9" t="s" s="143">
        <v>1441</v>
      </c>
      <c r="AV9" t="s">
        <v>1730</v>
      </c>
    </row>
    <row r="10" spans="1:54">
      <c r="A10" s="132"/>
      <c r="C10" t="s" s="43">
        <v>761</v>
      </c>
      <c r="D10" t="s">
        <v>1733</v>
      </c>
      <c r="F10" t="s">
        <v>1594</v>
      </c>
      <c r="G10" t="s" s="177">
        <v>162</v>
      </c>
      <c r="H10" t="s" s="43">
        <v>1312</v>
      </c>
      <c r="L10" t="s" s="14">
        <v>30</v>
      </c>
      <c r="O10" t="s">
        <v>1525</v>
      </c>
      <c r="P10" t="s" s="11">
        <v>1678</v>
      </c>
      <c r="Q10" t="s">
        <v>703</v>
      </c>
      <c r="R10" t="s" s="21">
        <v>56</v>
      </c>
      <c r="S10" t="s" s="101">
        <v>410</v>
      </c>
      <c r="T10" t="s" s="101">
        <v>410</v>
      </c>
      <c r="U10" t="s" s="101">
        <v>410</v>
      </c>
      <c r="V10" s="195"/>
      <c r="W10" t="s" s="101">
        <v>410</v>
      </c>
      <c r="X10" t="s" s="101">
        <v>410</v>
      </c>
      <c r="Y10" t="s" s="101">
        <v>410</v>
      </c>
      <c r="Z10" t="s" s="101">
        <v>410</v>
      </c>
      <c r="AA10" t="s" s="54">
        <v>132</v>
      </c>
      <c r="AB10" t="s" s="40">
        <v>1712</v>
      </c>
      <c r="AC10" t="s">
        <v>1476</v>
      </c>
      <c r="AD10" t="s" s="203">
        <v>130</v>
      </c>
      <c r="AE10" t="s">
        <v>701</v>
      </c>
      <c r="AF10" t="s" s="170">
        <v>1960</v>
      </c>
      <c r="AG10" t="s" s="203">
        <v>1622</v>
      </c>
      <c r="AH10" t="s" s="19">
        <v>702</v>
      </c>
      <c r="AI10" s="19"/>
      <c r="AJ10" s="19"/>
      <c r="AK10" t="s">
        <v>1611</v>
      </c>
      <c r="AL10" t="s">
        <v>649</v>
      </c>
      <c r="AP10" t="s">
        <v>1199</v>
      </c>
      <c r="AR10" t="s" s="143">
        <v>136</v>
      </c>
      <c r="AV10" t="s">
        <v>1067</v>
      </c>
    </row>
    <row r="11" spans="1:54">
      <c r="A11" s="132"/>
      <c r="C11" t="s" s="43">
        <v>1557</v>
      </c>
      <c r="D11" t="s">
        <v>1626</v>
      </c>
      <c r="F11" t="s">
        <v>227</v>
      </c>
      <c r="G11" t="s" s="42">
        <v>1281</v>
      </c>
      <c r="L11" t="s" s="14">
        <v>262</v>
      </c>
      <c r="O11" t="s">
        <v>940</v>
      </c>
      <c r="P11" t="s" s="11">
        <v>1416</v>
      </c>
      <c r="R11" t="s" s="21">
        <v>605</v>
      </c>
      <c r="S11" t="s" s="101">
        <v>771</v>
      </c>
      <c r="T11" t="s" s="101">
        <v>771</v>
      </c>
      <c r="U11" t="s" s="101">
        <v>771</v>
      </c>
      <c r="V11" s="195"/>
      <c r="W11" t="s" s="101">
        <v>771</v>
      </c>
      <c r="X11" t="s" s="101">
        <v>771</v>
      </c>
      <c r="Y11" t="s" s="101">
        <v>771</v>
      </c>
      <c r="Z11" t="s" s="101">
        <v>771</v>
      </c>
      <c r="AA11" t="s" s="54">
        <v>1679</v>
      </c>
      <c r="AB11" t="s" s="40">
        <v>910</v>
      </c>
      <c r="AC11" t="s">
        <v>1622</v>
      </c>
      <c r="AD11" t="s" s="144">
        <v>1003</v>
      </c>
      <c r="AE11" t="s">
        <v>1032</v>
      </c>
      <c r="AF11" t="s" s="54">
        <v>175</v>
      </c>
      <c r="AG11" t="s" s="203">
        <v>1632</v>
      </c>
      <c r="AH11" t="s">
        <v>208</v>
      </c>
      <c r="AI11" s="19"/>
      <c r="AJ11" s="19"/>
      <c r="AK11" t="s">
        <v>568</v>
      </c>
      <c r="AL11" t="s">
        <v>1382</v>
      </c>
      <c r="AP11" t="s">
        <v>1556</v>
      </c>
      <c r="AR11" t="s" s="143">
        <v>625</v>
      </c>
      <c r="AV11" t="s">
        <v>739</v>
      </c>
    </row>
    <row r="12" spans="1:54">
      <c r="A12" s="132"/>
      <c r="C12" t="s" s="43">
        <v>512</v>
      </c>
      <c r="D12" t="s">
        <v>198</v>
      </c>
      <c r="F12" t="s">
        <v>1609</v>
      </c>
      <c r="G12" t="s" s="42">
        <v>231</v>
      </c>
      <c r="L12" t="s" s="14">
        <v>134</v>
      </c>
      <c r="O12" t="s">
        <v>164</v>
      </c>
      <c r="P12" t="s" s="11">
        <v>960</v>
      </c>
      <c r="R12" t="s" s="21">
        <v>343</v>
      </c>
      <c r="S12" t="s" s="101">
        <v>233</v>
      </c>
      <c r="T12" t="s" s="101">
        <v>233</v>
      </c>
      <c r="U12" t="s" s="101">
        <v>233</v>
      </c>
      <c r="W12" t="s" s="101">
        <v>233</v>
      </c>
      <c r="X12" t="s" s="101">
        <v>233</v>
      </c>
      <c r="Y12" t="s" s="101">
        <v>233</v>
      </c>
      <c r="Z12" t="s" s="101">
        <v>233</v>
      </c>
      <c r="AA12" t="s" s="54">
        <v>876</v>
      </c>
      <c r="AB12" t="s" s="40">
        <v>1766</v>
      </c>
      <c r="AC12" t="s">
        <v>1632</v>
      </c>
      <c r="AD12" t="s" s="170">
        <v>1960</v>
      </c>
      <c r="AE12" t="s">
        <v>1566</v>
      </c>
      <c r="AG12" t="s" s="203">
        <v>405</v>
      </c>
      <c r="AH12" t="s" s="203">
        <v>405</v>
      </c>
      <c r="AK12" t="s">
        <v>1802</v>
      </c>
      <c r="AL12" t="s">
        <v>1452</v>
      </c>
      <c r="AP12" t="s">
        <v>1218</v>
      </c>
      <c r="AR12" t="s" s="143">
        <v>662</v>
      </c>
    </row>
    <row r="13" spans="1:54">
      <c r="A13" s="132"/>
      <c r="C13" t="s" s="43">
        <v>1396</v>
      </c>
      <c r="D13" t="s">
        <v>1403</v>
      </c>
      <c r="F13" t="s">
        <v>385</v>
      </c>
      <c r="G13" t="s" s="169">
        <v>1156</v>
      </c>
      <c r="L13" t="s" s="14">
        <v>872</v>
      </c>
      <c r="O13" t="s">
        <v>1589</v>
      </c>
      <c r="P13" t="s" s="11">
        <v>357</v>
      </c>
      <c r="R13" t="s" s="21">
        <v>129</v>
      </c>
      <c r="S13" t="s" s="101">
        <v>1249</v>
      </c>
      <c r="T13" t="s" s="101">
        <v>1249</v>
      </c>
      <c r="U13" t="s" s="101">
        <v>1249</v>
      </c>
      <c r="W13" t="s" s="101">
        <v>1249</v>
      </c>
      <c r="X13" t="s" s="101">
        <v>1249</v>
      </c>
      <c r="Y13" t="s" s="101">
        <v>1249</v>
      </c>
      <c r="Z13" t="s" s="101">
        <v>1249</v>
      </c>
      <c r="AA13" t="s" s="54">
        <v>1646</v>
      </c>
      <c r="AB13" t="s" s="40">
        <v>1406</v>
      </c>
      <c r="AC13" t="s">
        <v>405</v>
      </c>
      <c r="AD13" t="s" s="54">
        <v>1415</v>
      </c>
      <c r="AE13" t="s">
        <v>259</v>
      </c>
      <c r="AG13" t="s">
        <v>735</v>
      </c>
      <c r="AH13" t="s" s="19">
        <v>1706</v>
      </c>
      <c r="AI13" s="203"/>
      <c r="AJ13" s="203"/>
      <c r="AK13" t="s">
        <v>1503</v>
      </c>
      <c r="AL13" t="s">
        <v>908</v>
      </c>
      <c r="AP13" t="s">
        <v>368</v>
      </c>
    </row>
    <row r="14" spans="1:54">
      <c r="A14" s="132"/>
      <c r="C14" t="s" s="43">
        <v>1590</v>
      </c>
      <c r="F14" t="s">
        <v>660</v>
      </c>
      <c r="G14" t="s">
        <v>558</v>
      </c>
      <c r="L14" t="s" s="14">
        <v>1772</v>
      </c>
      <c r="P14" t="s" s="11">
        <v>1130</v>
      </c>
      <c r="R14" t="s" s="21">
        <v>696</v>
      </c>
      <c r="S14" t="s" s="101">
        <v>85</v>
      </c>
      <c r="T14" t="s" s="101">
        <v>85</v>
      </c>
      <c r="U14" t="s" s="101">
        <v>85</v>
      </c>
      <c r="W14" t="s" s="101">
        <v>85</v>
      </c>
      <c r="X14" t="s" s="101">
        <v>85</v>
      </c>
      <c r="Y14" t="s" s="101">
        <v>85</v>
      </c>
      <c r="Z14" t="s" s="101">
        <v>85</v>
      </c>
      <c r="AA14" t="s" s="54">
        <v>861</v>
      </c>
      <c r="AB14" t="s" s="40">
        <v>1770</v>
      </c>
      <c r="AC14" t="s">
        <v>739</v>
      </c>
      <c r="AD14" t="s" s="54">
        <v>175</v>
      </c>
      <c r="AE14" t="s">
        <v>1113</v>
      </c>
      <c r="AG14" t="s">
        <v>1716</v>
      </c>
      <c r="AH14" t="s">
        <v>272</v>
      </c>
      <c r="AI14" s="19"/>
      <c r="AJ14" s="19"/>
      <c r="AK14" t="s">
        <v>63</v>
      </c>
      <c r="AL14" t="s">
        <v>556</v>
      </c>
      <c r="AP14" t="s">
        <v>1350</v>
      </c>
    </row>
    <row r="15" spans="1:54">
      <c r="A15" s="132"/>
      <c r="C15" t="s" s="43">
        <v>611</v>
      </c>
      <c r="F15" t="s">
        <v>633</v>
      </c>
      <c r="G15" t="s">
        <v>573</v>
      </c>
      <c r="L15" t="s" s="14">
        <v>49</v>
      </c>
      <c r="P15" t="s" s="11">
        <v>1394</v>
      </c>
      <c r="R15" t="s" s="21">
        <v>600</v>
      </c>
      <c r="S15" t="s" s="101">
        <v>1521</v>
      </c>
      <c r="T15" t="s" s="101">
        <v>1521</v>
      </c>
      <c r="U15" t="s" s="101">
        <v>1521</v>
      </c>
      <c r="W15" t="s" s="101">
        <v>1521</v>
      </c>
      <c r="X15" t="s" s="101">
        <v>1521</v>
      </c>
      <c r="Y15" t="s" s="101">
        <v>1521</v>
      </c>
      <c r="Z15" t="s" s="101">
        <v>1521</v>
      </c>
      <c r="AA15" t="s" s="54">
        <v>1110</v>
      </c>
      <c r="AB15" t="s" s="40">
        <v>1563</v>
      </c>
      <c r="AD15" t="s" s="54">
        <v>50</v>
      </c>
      <c r="AE15" t="s">
        <v>1572</v>
      </c>
      <c r="AG15" t="s">
        <v>639</v>
      </c>
      <c r="AH15" t="s">
        <v>1140</v>
      </c>
      <c r="AK15" t="s">
        <v>1758</v>
      </c>
      <c r="AL15" t="s">
        <v>1150</v>
      </c>
      <c r="AP15" t="s">
        <v>1800</v>
      </c>
    </row>
    <row r="16" spans="1:54">
      <c r="A16" s="132"/>
      <c r="C16" t="s" s="43">
        <v>161</v>
      </c>
      <c r="F16" t="s" s="195">
        <v>1373</v>
      </c>
      <c r="G16" t="s" s="232">
        <v>695</v>
      </c>
      <c r="L16" t="s" s="14">
        <v>1245</v>
      </c>
      <c r="P16" t="s" s="11">
        <v>1318</v>
      </c>
      <c r="R16" t="s" s="21">
        <v>23</v>
      </c>
      <c r="S16" t="s" s="101">
        <v>644</v>
      </c>
      <c r="T16" t="s" s="101">
        <v>644</v>
      </c>
      <c r="U16" t="s" s="101">
        <v>644</v>
      </c>
      <c r="W16" t="s" s="101">
        <v>644</v>
      </c>
      <c r="X16" t="s" s="101">
        <v>644</v>
      </c>
      <c r="Y16" t="s" s="101">
        <v>644</v>
      </c>
      <c r="Z16" t="s" s="101">
        <v>644</v>
      </c>
      <c r="AA16" t="s" s="54">
        <v>944</v>
      </c>
      <c r="AB16" t="s" s="40">
        <v>1093</v>
      </c>
      <c r="AD16" t="s" s="54">
        <v>16</v>
      </c>
      <c r="AE16" t="s">
        <v>234</v>
      </c>
      <c r="AG16" t="s">
        <v>484</v>
      </c>
      <c r="AH16" t="s">
        <v>469</v>
      </c>
      <c r="AK16" t="s">
        <v>952</v>
      </c>
      <c r="AL16" t="s">
        <v>1797</v>
      </c>
      <c r="AP16" t="s">
        <v>692</v>
      </c>
    </row>
    <row r="17" spans="1:42">
      <c r="A17" s="132"/>
      <c r="C17" t="s" s="43">
        <v>133</v>
      </c>
      <c r="F17" t="s">
        <v>785</v>
      </c>
      <c r="G17" t="s" s="85">
        <v>1727</v>
      </c>
      <c r="L17" t="s" s="14">
        <v>372</v>
      </c>
      <c r="P17" t="s" s="11">
        <v>384</v>
      </c>
      <c r="R17" t="s" s="21">
        <v>712</v>
      </c>
      <c r="S17" t="s" s="101">
        <v>740</v>
      </c>
      <c r="T17" t="s" s="101">
        <v>740</v>
      </c>
      <c r="U17" t="s" s="101">
        <v>740</v>
      </c>
      <c r="W17" t="s" s="101">
        <v>740</v>
      </c>
      <c r="X17" t="s" s="101">
        <v>740</v>
      </c>
      <c r="Y17" t="s" s="101">
        <v>740</v>
      </c>
      <c r="Z17" t="s" s="101">
        <v>740</v>
      </c>
      <c r="AA17" t="s" s="54">
        <v>865</v>
      </c>
      <c r="AB17" t="s" s="40">
        <v>1432</v>
      </c>
      <c r="AD17" t="s">
        <v>1114</v>
      </c>
      <c r="AE17" t="s">
        <v>774</v>
      </c>
      <c r="AG17" t="s">
        <v>332</v>
      </c>
      <c r="AH17" t="s" s="203">
        <v>739</v>
      </c>
      <c r="AK17" t="s">
        <v>381</v>
      </c>
      <c r="AL17" t="s">
        <v>1787</v>
      </c>
      <c r="AP17" t="s">
        <v>719</v>
      </c>
    </row>
    <row r="18" spans="1:42">
      <c r="A18" s="132"/>
      <c r="C18" t="s" s="43">
        <v>1807</v>
      </c>
      <c r="F18" t="s">
        <v>1303</v>
      </c>
      <c r="G18" t="s" s="42">
        <v>219</v>
      </c>
      <c r="L18" t="s" s="14">
        <v>1296</v>
      </c>
      <c r="P18" t="s" s="11">
        <v>994</v>
      </c>
      <c r="R18" t="s" s="21">
        <v>630</v>
      </c>
      <c r="S18" t="s" s="101">
        <v>820</v>
      </c>
      <c r="T18" t="s" s="101">
        <v>820</v>
      </c>
      <c r="U18" t="s" s="101">
        <v>820</v>
      </c>
      <c r="W18" t="s" s="101">
        <v>820</v>
      </c>
      <c r="X18" t="s" s="101">
        <v>820</v>
      </c>
      <c r="Y18" t="s" s="101">
        <v>820</v>
      </c>
      <c r="Z18" t="s" s="101">
        <v>820</v>
      </c>
      <c r="AA18" t="s" s="54">
        <v>863</v>
      </c>
      <c r="AB18" t="s" s="40">
        <v>1617</v>
      </c>
      <c r="AD18" t="s">
        <v>80</v>
      </c>
      <c r="AE18" t="s">
        <v>1539</v>
      </c>
      <c r="AG18" t="s">
        <v>1765</v>
      </c>
      <c r="AI18" s="203"/>
      <c r="AJ18" s="203"/>
      <c r="AK18" t="s">
        <v>411</v>
      </c>
      <c r="AL18" t="s">
        <v>1342</v>
      </c>
      <c r="AP18" t="s">
        <v>1228</v>
      </c>
    </row>
    <row r="19" spans="1:42">
      <c r="A19" s="132"/>
      <c r="C19" t="s" s="43">
        <v>341</v>
      </c>
      <c r="F19" t="s">
        <v>1420</v>
      </c>
      <c r="G19" t="s" s="169">
        <v>980</v>
      </c>
      <c r="L19" t="s" s="14">
        <v>557</v>
      </c>
      <c r="P19" t="s" s="11">
        <v>274</v>
      </c>
      <c r="S19" t="s" s="101">
        <v>10</v>
      </c>
      <c r="T19" t="s" s="101">
        <v>10</v>
      </c>
      <c r="U19" t="s" s="101">
        <v>10</v>
      </c>
      <c r="W19" t="s" s="101">
        <v>10</v>
      </c>
      <c r="X19" t="s" s="101">
        <v>10</v>
      </c>
      <c r="Y19" t="s" s="101">
        <v>10</v>
      </c>
      <c r="Z19" t="s" s="101">
        <v>10</v>
      </c>
      <c r="AA19" t="s" s="54">
        <v>1616</v>
      </c>
      <c r="AB19" t="s" s="40">
        <v>73</v>
      </c>
      <c r="AD19" t="s">
        <v>770</v>
      </c>
      <c r="AE19" t="s">
        <v>398</v>
      </c>
      <c r="AG19" t="s">
        <v>151</v>
      </c>
      <c r="AK19" t="s">
        <v>1329</v>
      </c>
      <c r="AL19" t="s">
        <v>737</v>
      </c>
      <c r="AP19" t="s">
        <v>895</v>
      </c>
    </row>
    <row r="20" spans="1:42">
      <c r="C20" t="s" s="43">
        <v>55</v>
      </c>
      <c r="F20" t="s">
        <v>1395</v>
      </c>
      <c r="G20" t="s" s="189">
        <v>65</v>
      </c>
      <c r="L20" t="s" s="14">
        <v>116</v>
      </c>
      <c r="P20" t="s" s="11">
        <v>1544</v>
      </c>
      <c r="S20" t="s" s="101">
        <v>154</v>
      </c>
      <c r="T20" t="s" s="101">
        <v>154</v>
      </c>
      <c r="U20" t="s" s="101">
        <v>154</v>
      </c>
      <c r="W20" t="s" s="101">
        <v>154</v>
      </c>
      <c r="X20" t="s" s="101">
        <v>154</v>
      </c>
      <c r="Y20" t="s" s="101">
        <v>154</v>
      </c>
      <c r="Z20" t="s" s="101">
        <v>154</v>
      </c>
      <c r="AA20" t="s" s="54">
        <v>1411</v>
      </c>
      <c r="AB20" t="s" s="40">
        <v>1469</v>
      </c>
      <c r="AD20" t="s">
        <v>1074</v>
      </c>
      <c r="AE20" t="s">
        <v>1337</v>
      </c>
      <c r="AG20" t="s">
        <v>1240</v>
      </c>
      <c r="AK20" t="s">
        <v>1300</v>
      </c>
      <c r="AL20" t="s">
        <v>885</v>
      </c>
      <c r="AP20" t="s">
        <v>1422</v>
      </c>
    </row>
    <row r="21" spans="1:42">
      <c r="A21" s="132"/>
      <c r="C21" t="s" s="43">
        <v>1779</v>
      </c>
      <c r="F21" t="s">
        <v>1620</v>
      </c>
      <c r="G21" t="s" s="169">
        <v>1838</v>
      </c>
      <c r="L21" t="s" s="14">
        <v>455</v>
      </c>
      <c r="P21" t="s" s="11">
        <v>1579</v>
      </c>
      <c r="S21" t="s">
        <v>1575</v>
      </c>
      <c r="T21" t="s">
        <v>1575</v>
      </c>
      <c r="U21" t="s">
        <v>1575</v>
      </c>
      <c r="W21" t="s">
        <v>1575</v>
      </c>
      <c r="X21" t="s">
        <v>1575</v>
      </c>
      <c r="Y21" t="s">
        <v>1575</v>
      </c>
      <c r="Z21" t="s">
        <v>1575</v>
      </c>
      <c r="AA21" t="s" s="54">
        <v>1268</v>
      </c>
      <c r="AB21" t="s" s="40">
        <v>1335</v>
      </c>
      <c r="AG21" t="s">
        <v>1785</v>
      </c>
      <c r="AI21" s="19"/>
      <c r="AJ21" s="19"/>
      <c r="AK21" t="s">
        <v>1390</v>
      </c>
      <c r="AL21" t="s">
        <v>1540</v>
      </c>
      <c r="AP21" t="s">
        <v>1125</v>
      </c>
    </row>
    <row r="22" spans="1:42">
      <c r="A22" s="132"/>
      <c r="C22" t="s" s="121">
        <v>1049</v>
      </c>
      <c r="F22" t="s">
        <v>1699</v>
      </c>
      <c r="G22" t="s" s="56">
        <v>1630</v>
      </c>
      <c r="L22" t="s" s="2">
        <v>1349</v>
      </c>
      <c r="P22" t="s" s="11">
        <v>562</v>
      </c>
      <c r="R22" s="21"/>
      <c r="AA22" t="s" s="54">
        <v>510</v>
      </c>
      <c r="AB22" t="s" s="40">
        <v>1338</v>
      </c>
      <c r="AG22" t="s">
        <v>3</v>
      </c>
      <c r="AI22" s="19"/>
      <c r="AJ22" s="19"/>
      <c r="AK22" t="s">
        <v>15</v>
      </c>
      <c r="AL22" t="s">
        <v>619</v>
      </c>
      <c r="AP22" t="s">
        <v>1781</v>
      </c>
    </row>
    <row r="23" spans="1:42">
      <c r="C23" t="s" s="207">
        <v>593</v>
      </c>
      <c r="F23" t="s">
        <v>244</v>
      </c>
      <c r="G23" t="s" s="169">
        <v>1491</v>
      </c>
      <c r="L23" t="s" s="2">
        <v>932</v>
      </c>
      <c r="P23" t="s" s="11">
        <v>1516</v>
      </c>
      <c r="S23" s="195"/>
      <c r="T23" s="195"/>
      <c r="U23" s="195"/>
      <c r="W23" s="195"/>
      <c r="X23" s="195"/>
      <c r="Y23" s="195"/>
      <c r="Z23" s="195"/>
      <c r="AA23" t="s" s="54">
        <v>214</v>
      </c>
      <c r="AB23" t="s" s="40">
        <v>456</v>
      </c>
      <c r="AG23" t="s">
        <v>1196</v>
      </c>
      <c r="AK23" t="s">
        <v>1257</v>
      </c>
      <c r="AL23" t="s" s="100">
        <v>798</v>
      </c>
      <c r="AP23" t="s" s="18">
        <v>248</v>
      </c>
    </row>
    <row r="24" spans="1:42">
      <c r="A24" s="132"/>
      <c r="F24" t="s" s="9">
        <v>659</v>
      </c>
      <c r="G24" t="s" s="85">
        <v>202</v>
      </c>
      <c r="L24" t="s" s="14">
        <v>1731</v>
      </c>
      <c r="P24" t="s" s="11">
        <v>1479</v>
      </c>
      <c r="R24" s="21"/>
      <c r="AA24" t="s" s="54">
        <v>167</v>
      </c>
      <c r="AB24" t="s" s="40">
        <v>1037</v>
      </c>
      <c r="AK24" t="s" s="101">
        <v>77</v>
      </c>
      <c r="AL24" t="s" s="100">
        <v>344</v>
      </c>
      <c r="AP24" t="s" s="18">
        <v>1639</v>
      </c>
    </row>
    <row r="25" spans="1:42">
      <c r="A25" s="132"/>
      <c r="F25" t="s" s="9">
        <v>1019</v>
      </c>
      <c r="G25" t="s" s="42">
        <v>112</v>
      </c>
      <c r="L25" t="s" s="14">
        <v>376</v>
      </c>
      <c r="P25" t="s" s="11">
        <v>1353</v>
      </c>
      <c r="R25" s="21"/>
      <c r="S25" s="195"/>
      <c r="T25" s="195"/>
      <c r="U25" s="195"/>
      <c r="W25" s="195"/>
      <c r="X25" s="195"/>
      <c r="Y25" s="195"/>
      <c r="Z25" s="195"/>
      <c r="AA25" t="s" s="54">
        <v>1550</v>
      </c>
      <c r="AB25" t="s" s="40">
        <v>678</v>
      </c>
      <c r="AK25" t="s" s="101">
        <v>970</v>
      </c>
      <c r="AL25" t="s" s="18">
        <v>979</v>
      </c>
      <c r="AP25" t="s" s="18">
        <v>934</v>
      </c>
    </row>
    <row r="26" spans="1:42">
      <c r="A26" s="132"/>
      <c r="F26" t="s">
        <v>1189</v>
      </c>
      <c r="G26" t="s" s="42">
        <v>1707</v>
      </c>
      <c r="L26" t="s" s="14">
        <v>246</v>
      </c>
      <c r="P26" t="s" s="11">
        <v>1645</v>
      </c>
      <c r="R26" s="21"/>
      <c r="S26" s="195"/>
      <c r="T26" s="195"/>
      <c r="U26" s="195"/>
      <c r="W26" s="195"/>
      <c r="X26" s="195"/>
      <c r="Y26" s="195"/>
      <c r="Z26" s="195"/>
      <c r="AA26" t="s" s="54">
        <v>299</v>
      </c>
      <c r="AB26" t="s" s="40">
        <v>335</v>
      </c>
      <c r="AK26" t="s" s="101">
        <v>1251</v>
      </c>
      <c r="AL26" t="s" s="18">
        <v>933</v>
      </c>
      <c r="AP26" t="s" s="143">
        <v>1798</v>
      </c>
    </row>
    <row r="27" spans="1:42">
      <c r="A27" s="132"/>
      <c r="F27" t="s" s="9">
        <v>353</v>
      </c>
      <c r="G27" t="s">
        <v>305</v>
      </c>
      <c r="L27" t="s" s="14">
        <v>1467</v>
      </c>
      <c r="P27" t="s" s="11">
        <v>1465</v>
      </c>
      <c r="S27" s="195"/>
      <c r="T27" s="195"/>
      <c r="U27" s="195"/>
      <c r="W27" s="195"/>
      <c r="X27" s="195"/>
      <c r="Y27" s="195"/>
      <c r="Z27" s="195"/>
      <c r="AA27" t="s" s="54">
        <v>258</v>
      </c>
      <c r="AB27" t="s" s="40">
        <v>903</v>
      </c>
      <c r="AK27" t="s" s="101">
        <v>1017</v>
      </c>
      <c r="AL27" t="s" s="18">
        <v>1000</v>
      </c>
      <c r="AP27" t="s" s="143">
        <v>1697</v>
      </c>
    </row>
    <row r="28" spans="1:42">
      <c r="A28" s="132"/>
      <c r="F28" t="s" s="9">
        <v>1439</v>
      </c>
      <c r="G28" t="s" s="42">
        <v>1657</v>
      </c>
      <c r="L28" t="s" s="14">
        <v>1186</v>
      </c>
      <c r="P28" t="s" s="11">
        <v>493</v>
      </c>
      <c r="R28" s="21"/>
      <c r="AA28" t="s" s="54">
        <v>930</v>
      </c>
      <c r="AB28" t="s" s="40">
        <v>626</v>
      </c>
      <c r="AK28" t="s">
        <v>1844</v>
      </c>
      <c r="AP28" t="s" s="143">
        <v>119</v>
      </c>
    </row>
    <row r="29" spans="1:42">
      <c r="A29" s="132"/>
      <c r="F29" t="s" s="9">
        <v>47</v>
      </c>
      <c r="G29" t="s" s="42">
        <v>1258</v>
      </c>
      <c r="L29" t="s" s="14">
        <v>1686</v>
      </c>
      <c r="P29" t="s" s="11">
        <v>962</v>
      </c>
      <c r="R29" s="21"/>
      <c r="S29" s="195"/>
      <c r="T29" s="195"/>
      <c r="U29" s="195"/>
      <c r="W29" s="195"/>
      <c r="X29" s="195"/>
      <c r="Y29" s="195"/>
      <c r="Z29" s="195"/>
      <c r="AA29" t="s" s="54">
        <v>45</v>
      </c>
      <c r="AB29" t="s" s="40">
        <v>1210</v>
      </c>
      <c r="AP29" t="s" s="143">
        <v>1199</v>
      </c>
    </row>
    <row r="30" spans="1:42">
      <c r="A30" s="132"/>
      <c r="F30" t="s" s="9">
        <v>1066</v>
      </c>
      <c r="G30" t="s" s="42">
        <v>1568</v>
      </c>
      <c r="L30" t="s" s="14">
        <v>646</v>
      </c>
      <c r="P30" t="s" s="11">
        <v>304</v>
      </c>
      <c r="R30" s="21"/>
      <c r="S30" s="195"/>
      <c r="T30" s="195"/>
      <c r="U30" s="195"/>
      <c r="W30" s="195"/>
      <c r="X30" s="195"/>
      <c r="Y30" s="195"/>
      <c r="Z30" s="195"/>
      <c r="AA30" t="s" s="54">
        <v>1841</v>
      </c>
      <c r="AB30" t="s" s="40">
        <v>788</v>
      </c>
      <c r="AP30" t="s" s="143">
        <v>323</v>
      </c>
    </row>
    <row r="31" spans="1:42">
      <c r="A31" s="132"/>
      <c r="F31" t="s">
        <v>913</v>
      </c>
      <c r="G31" t="s">
        <v>518</v>
      </c>
      <c r="L31" t="s" s="14">
        <v>997</v>
      </c>
      <c r="P31" t="s" s="11">
        <v>203</v>
      </c>
      <c r="S31" s="195"/>
      <c r="T31" s="195"/>
      <c r="U31" s="195"/>
      <c r="W31" s="195"/>
      <c r="X31" s="195"/>
      <c r="Y31" s="195"/>
      <c r="Z31" s="195"/>
      <c r="AA31" t="s" s="54">
        <v>972</v>
      </c>
      <c r="AB31" t="s" s="40">
        <v>168</v>
      </c>
      <c r="AP31" t="s" s="143">
        <v>1474</v>
      </c>
    </row>
    <row r="32" spans="1:42">
      <c r="F32" t="s">
        <v>1231</v>
      </c>
      <c r="G32" t="s" s="42">
        <v>1858</v>
      </c>
      <c r="L32" t="s" s="14">
        <v>595</v>
      </c>
      <c r="P32" t="s" s="11">
        <v>1721</v>
      </c>
      <c r="AA32" t="s" s="54">
        <v>1362</v>
      </c>
      <c r="AB32" t="s" s="40">
        <v>483</v>
      </c>
    </row>
    <row r="33" spans="1:36">
      <c r="F33" t="s">
        <v>1383</v>
      </c>
      <c r="G33" t="s" s="42">
        <v>1790</v>
      </c>
      <c r="L33" t="s" s="14">
        <v>416</v>
      </c>
      <c r="P33" t="s" s="11">
        <v>62</v>
      </c>
      <c r="AA33" t="s" s="54">
        <v>356</v>
      </c>
      <c r="AB33" t="s" s="40">
        <v>1761</v>
      </c>
    </row>
    <row r="34" spans="1:36">
      <c r="F34" t="s">
        <v>1504</v>
      </c>
      <c r="G34" t="s">
        <v>942</v>
      </c>
      <c r="L34" t="s" s="14">
        <v>951</v>
      </c>
      <c r="P34" t="s" s="11">
        <v>1714</v>
      </c>
      <c r="AA34" t="s" s="54">
        <v>160</v>
      </c>
      <c r="AB34" t="s" s="40">
        <v>623</v>
      </c>
    </row>
    <row r="35" spans="1:36">
      <c r="A35" s="132"/>
      <c r="F35" t="s">
        <v>1703</v>
      </c>
      <c r="G35" t="s" s="42">
        <v>931</v>
      </c>
      <c r="L35" t="s" s="14">
        <v>1327</v>
      </c>
      <c r="P35" t="s" s="11">
        <v>996</v>
      </c>
      <c r="AA35" t="s" s="54">
        <v>998</v>
      </c>
      <c r="AB35" t="s" s="40">
        <v>1065</v>
      </c>
      <c r="AH35" s="203"/>
    </row>
    <row r="36" spans="1:36">
      <c r="A36" s="132"/>
      <c r="F36" t="s">
        <v>1247</v>
      </c>
      <c r="G36" t="s" s="42">
        <v>1148</v>
      </c>
      <c r="L36" t="s" s="14">
        <v>845</v>
      </c>
      <c r="P36" t="s" s="11">
        <v>1705</v>
      </c>
      <c r="R36" s="21"/>
      <c r="S36" s="195"/>
      <c r="T36" s="195"/>
      <c r="U36" s="195"/>
      <c r="W36" s="195"/>
      <c r="X36" s="195"/>
      <c r="Y36" s="195"/>
      <c r="Z36" s="195"/>
      <c r="AA36" t="s" s="54">
        <v>1460</v>
      </c>
      <c r="AB36" t="s" s="40">
        <v>131</v>
      </c>
      <c r="AH36" s="203"/>
      <c r="AI36" s="203"/>
      <c r="AJ36" s="203"/>
    </row>
    <row r="37" spans="1:36">
      <c r="A37" s="132"/>
      <c r="F37" t="s">
        <v>1526</v>
      </c>
      <c r="L37" t="s" s="14">
        <v>442</v>
      </c>
      <c r="P37" t="s" s="11">
        <v>553</v>
      </c>
      <c r="R37" s="21"/>
      <c r="S37" s="195"/>
      <c r="T37" s="195"/>
      <c r="U37" s="195"/>
      <c r="W37" s="195"/>
      <c r="X37" s="195"/>
      <c r="Y37" s="195"/>
      <c r="Z37" s="195"/>
      <c r="AA37" t="s" s="54">
        <v>28</v>
      </c>
      <c r="AB37" t="s" s="40">
        <v>1734</v>
      </c>
      <c r="AI37" s="203"/>
      <c r="AJ37" s="203"/>
    </row>
    <row r="38" spans="1:36">
      <c r="A38" s="132"/>
      <c r="F38" t="s">
        <v>1225</v>
      </c>
      <c r="L38" t="s" s="14">
        <v>1405</v>
      </c>
      <c r="P38" t="s" s="11">
        <v>1347</v>
      </c>
      <c r="S38" s="195"/>
      <c r="T38" s="195"/>
      <c r="U38" s="195"/>
      <c r="W38" s="195"/>
      <c r="X38" s="195"/>
      <c r="Y38" s="195"/>
      <c r="Z38" s="195"/>
      <c r="AA38" t="s" s="54">
        <v>1376</v>
      </c>
      <c r="AB38" t="s" s="40">
        <v>396</v>
      </c>
    </row>
    <row r="39" spans="1:36">
      <c r="A39" s="132"/>
      <c r="F39" t="s">
        <v>59</v>
      </c>
      <c r="L39" t="s" s="14">
        <v>1165</v>
      </c>
      <c r="P39" t="s" s="11">
        <v>296</v>
      </c>
      <c r="AA39" t="s" s="54">
        <v>1780</v>
      </c>
      <c r="AB39" t="s" s="40">
        <v>520</v>
      </c>
    </row>
    <row r="40" spans="1:36">
      <c r="A40" s="132"/>
      <c r="F40" t="s">
        <v>812</v>
      </c>
      <c r="L40" t="s" s="56">
        <v>1567</v>
      </c>
      <c r="P40" t="s" s="11">
        <v>901</v>
      </c>
      <c r="R40" s="21"/>
      <c r="AA40" t="s" s="54">
        <v>1222</v>
      </c>
      <c r="AB40" t="s" s="40">
        <v>801</v>
      </c>
    </row>
    <row r="41" spans="1:36">
      <c r="A41" s="132"/>
      <c r="F41" t="s">
        <v>1587</v>
      </c>
      <c r="H41" s="54"/>
      <c r="L41" t="s" s="14">
        <v>1178</v>
      </c>
      <c r="P41" t="s" s="11">
        <v>362</v>
      </c>
      <c r="S41" s="195"/>
      <c r="T41" s="195"/>
      <c r="U41" s="195"/>
      <c r="W41" s="195"/>
      <c r="X41" s="195"/>
      <c r="Y41" s="195"/>
      <c r="Z41" s="195"/>
      <c r="AA41" t="s" s="54">
        <v>1359</v>
      </c>
      <c r="AB41" t="s" s="40">
        <v>1368</v>
      </c>
    </row>
    <row r="42" spans="1:36">
      <c r="A42" s="132"/>
      <c r="F42" t="s">
        <v>1810</v>
      </c>
      <c r="H42" s="54"/>
      <c r="L42" t="s" s="14">
        <v>773</v>
      </c>
      <c r="AA42" t="s" s="54">
        <v>1324</v>
      </c>
      <c r="AB42" t="s" s="40">
        <v>589</v>
      </c>
    </row>
    <row r="43" spans="1:36">
      <c r="A43" s="132"/>
      <c r="F43" t="s">
        <v>797</v>
      </c>
      <c r="H43" s="54"/>
      <c r="L43" t="s" s="225">
        <v>311</v>
      </c>
      <c r="M43" s="14"/>
      <c r="N43" s="14"/>
      <c r="AA43" t="s" s="54">
        <v>1723</v>
      </c>
      <c r="AB43" t="s" s="40">
        <v>1621</v>
      </c>
    </row>
    <row r="44" spans="1:36">
      <c r="A44" s="132"/>
      <c r="F44" t="s">
        <v>1666</v>
      </c>
      <c r="L44" s="14"/>
      <c r="M44" s="14"/>
      <c r="N44" s="14"/>
      <c r="AA44" t="s" s="54">
        <v>388</v>
      </c>
      <c r="AB44" t="s" s="40">
        <v>1464</v>
      </c>
    </row>
    <row r="45" spans="1:36">
      <c r="F45" t="s">
        <v>1815</v>
      </c>
      <c r="L45" s="14"/>
      <c r="AA45" t="s" s="54">
        <v>1655</v>
      </c>
      <c r="AB45" t="s" s="40">
        <v>1284</v>
      </c>
    </row>
    <row r="46" spans="1:36">
      <c r="F46" t="s">
        <v>1649</v>
      </c>
      <c r="L46" s="225"/>
      <c r="AA46" t="s" s="54">
        <v>1749</v>
      </c>
      <c r="AB46" t="s" s="40">
        <v>1371</v>
      </c>
    </row>
    <row r="47" spans="1:36">
      <c r="F47" t="s">
        <v>826</v>
      </c>
      <c r="L47" s="225"/>
      <c r="AA47" t="s" s="54">
        <v>803</v>
      </c>
      <c r="AB47" t="s" s="40">
        <v>81</v>
      </c>
    </row>
    <row r="48" spans="1:36">
      <c r="F48" t="s">
        <v>1036</v>
      </c>
      <c r="L48" s="225"/>
      <c r="AA48" t="s" s="54">
        <v>688</v>
      </c>
      <c r="AB48" t="s" s="40">
        <v>338</v>
      </c>
    </row>
    <row r="49" spans="6:28">
      <c r="F49" t="s">
        <v>1580</v>
      </c>
      <c r="L49" s="225"/>
      <c r="AA49" t="s" s="54">
        <v>1857</v>
      </c>
      <c r="AB49" t="s" s="40">
        <v>1106</v>
      </c>
    </row>
    <row r="50" spans="6:28">
      <c r="F50" t="s">
        <v>1004</v>
      </c>
      <c r="L50" s="225"/>
      <c r="AA50" t="s" s="54">
        <v>689</v>
      </c>
      <c r="AB50" t="s" s="40">
        <v>1205</v>
      </c>
    </row>
    <row r="51" spans="6:28">
      <c r="F51" t="s">
        <v>476</v>
      </c>
      <c r="L51" s="225"/>
      <c r="AA51" t="s" s="54">
        <v>1021</v>
      </c>
      <c r="AB51" t="s" s="40">
        <v>412</v>
      </c>
    </row>
    <row r="52" spans="6:28">
      <c r="F52" t="s">
        <v>672</v>
      </c>
      <c r="L52" s="225"/>
      <c r="AA52" t="s" s="54">
        <v>1393</v>
      </c>
      <c r="AB52" t="s" s="40">
        <v>1430</v>
      </c>
    </row>
    <row r="53" spans="6:28">
      <c r="F53" t="s">
        <v>1307</v>
      </c>
      <c r="L53" s="225"/>
      <c r="AA53" t="s" s="54">
        <v>1096</v>
      </c>
      <c r="AB53" t="s" s="40">
        <v>1144</v>
      </c>
    </row>
    <row r="54" spans="6:28">
      <c r="F54" t="s">
        <v>60</v>
      </c>
      <c r="L54" s="225"/>
      <c r="AA54" t="s" s="54">
        <v>563</v>
      </c>
      <c r="AB54" t="s" s="40">
        <v>574</v>
      </c>
    </row>
    <row r="55" spans="6:28">
      <c r="F55" t="s">
        <v>1811</v>
      </c>
      <c r="L55" s="225"/>
      <c r="AA55" t="s" s="54">
        <v>1392</v>
      </c>
      <c r="AB55" t="s" s="40">
        <v>813</v>
      </c>
    </row>
    <row r="56" spans="6:28">
      <c r="F56" t="s">
        <v>989</v>
      </c>
      <c r="L56" s="225"/>
      <c r="AA56" t="s" s="54">
        <v>1212</v>
      </c>
      <c r="AB56" t="s" s="40">
        <v>1498</v>
      </c>
    </row>
    <row r="57" spans="6:28">
      <c r="F57" t="s">
        <v>1224</v>
      </c>
      <c r="L57" s="225"/>
      <c r="AA57" t="s" s="54">
        <v>1166</v>
      </c>
      <c r="AB57" t="s" s="40">
        <v>1344</v>
      </c>
    </row>
    <row r="58" spans="6:28">
      <c r="F58" t="s">
        <v>1812</v>
      </c>
      <c r="L58" s="225"/>
      <c r="AA58" t="s" s="54">
        <v>833</v>
      </c>
    </row>
    <row r="59" spans="6:28">
      <c r="F59" t="s">
        <v>1600</v>
      </c>
      <c r="L59" s="225"/>
      <c r="AA59" t="s" s="54">
        <v>1185</v>
      </c>
    </row>
    <row r="60" spans="6:28">
      <c r="F60" t="s">
        <v>38</v>
      </c>
      <c r="L60" s="225"/>
      <c r="AA60" s="54"/>
      <c r="AB60" s="40"/>
    </row>
    <row r="61" spans="6:28">
      <c r="F61" t="s">
        <v>18</v>
      </c>
      <c r="L61" s="225"/>
      <c r="AA61" s="54"/>
      <c r="AB61" s="40"/>
    </row>
    <row r="62" spans="6:28">
      <c r="F62" t="s">
        <v>709</v>
      </c>
      <c r="L62" s="225"/>
      <c r="AA62" s="54"/>
      <c r="AB62" s="40"/>
    </row>
    <row r="63" spans="6:28">
      <c r="F63" t="s">
        <v>1515</v>
      </c>
      <c r="L63" s="225"/>
      <c r="AA63" s="54"/>
      <c r="AB63" s="40"/>
    </row>
    <row r="64" spans="6:28">
      <c r="F64" t="s">
        <v>1297</v>
      </c>
      <c r="L64" s="225"/>
      <c r="AA64" s="54"/>
      <c r="AB64" s="40"/>
    </row>
    <row r="65" spans="1:28">
      <c r="F65" t="s">
        <v>651</v>
      </c>
      <c r="L65" s="225"/>
      <c r="AA65" s="54"/>
      <c r="AB65" s="40"/>
    </row>
    <row r="66" spans="1:28">
      <c r="F66" t="s">
        <v>195</v>
      </c>
    </row>
    <row r="67" spans="1:28">
      <c r="F67" t="s" s="132">
        <v>1454</v>
      </c>
    </row>
    <row r="68" spans="1:28">
      <c r="A68" s="132"/>
      <c r="F68" t="s" s="132">
        <v>404</v>
      </c>
    </row>
    <row r="69" spans="1:28">
      <c r="A69" s="132"/>
      <c r="F69" t="s" s="132">
        <v>1404</v>
      </c>
      <c r="L69" s="14"/>
    </row>
    <row r="70" spans="1:28">
      <c r="A70" s="132"/>
      <c r="F70" t="s" s="132">
        <v>1062</v>
      </c>
      <c r="L70" s="14"/>
    </row>
    <row r="71" spans="1:28">
      <c r="A71" s="132"/>
      <c r="F71" t="s" s="132">
        <v>1826</v>
      </c>
      <c r="L71" s="14"/>
    </row>
    <row r="72" spans="1:28">
      <c r="A72" s="132"/>
      <c r="F72" t="s" s="132">
        <v>333</v>
      </c>
      <c r="L72" s="14"/>
    </row>
    <row r="73" spans="1:28">
      <c r="A73" s="132"/>
      <c r="F73" t="s" s="132">
        <v>236</v>
      </c>
      <c r="L73" s="14"/>
    </row>
    <row r="74" spans="1:28">
      <c r="A74" s="132"/>
      <c r="F74" t="s">
        <v>1194</v>
      </c>
      <c r="L74" s="14"/>
    </row>
    <row r="75" spans="1:28">
      <c r="A75" s="132"/>
      <c r="F75" t="s">
        <v>423</v>
      </c>
      <c r="L75" s="14"/>
    </row>
    <row r="76" spans="1:28">
      <c r="A76" s="132"/>
      <c r="F76" t="s">
        <v>87</v>
      </c>
      <c r="L76" s="14"/>
    </row>
    <row r="77" spans="1:28">
      <c r="A77" s="132"/>
      <c r="F77" t="s">
        <v>1161</v>
      </c>
      <c r="L77" s="14"/>
    </row>
    <row r="78" spans="1:28">
      <c r="A78" s="132"/>
      <c r="F78" t="s">
        <v>669</v>
      </c>
      <c r="L78" s="14"/>
    </row>
    <row r="79" spans="1:28">
      <c r="A79" s="132"/>
      <c r="F79" t="s">
        <v>270</v>
      </c>
      <c r="L79" s="14"/>
    </row>
    <row r="80" spans="1:28">
      <c r="A80" s="132"/>
      <c r="F80" t="s">
        <v>1599</v>
      </c>
      <c r="L80" s="14"/>
    </row>
    <row r="81" spans="1:12">
      <c r="A81" s="132"/>
      <c r="F81" t="s">
        <v>46</v>
      </c>
      <c r="L81" s="14"/>
    </row>
    <row r="82" spans="1:12">
      <c r="A82" s="132"/>
      <c r="L82" s="14"/>
    </row>
    <row r="83" spans="1:12">
      <c r="A83" s="132"/>
      <c r="F83" s="132"/>
      <c r="L83" s="14"/>
    </row>
    <row r="84" spans="1:12">
      <c r="A84" s="132"/>
      <c r="F84" s="132"/>
      <c r="L84" s="14"/>
    </row>
    <row r="85" spans="1:12">
      <c r="A85" s="132"/>
      <c r="F85" s="132"/>
      <c r="L85" s="14"/>
    </row>
    <row r="86" spans="1:12">
      <c r="A86" s="132"/>
      <c r="F86" s="132"/>
      <c r="L86" s="14"/>
    </row>
    <row r="87" spans="1:12">
      <c r="A87" s="132"/>
      <c r="F87" s="132"/>
      <c r="L87" s="14"/>
    </row>
    <row r="88" spans="1:12">
      <c r="A88" s="132"/>
      <c r="F88" s="132"/>
      <c r="L88" s="14"/>
    </row>
    <row r="89" spans="1:12">
      <c r="A89" s="132"/>
      <c r="F89" s="132"/>
      <c r="L89" s="14"/>
    </row>
    <row r="90" spans="1:12">
      <c r="A90" s="132"/>
      <c r="F90" s="132"/>
      <c r="L90" s="14"/>
    </row>
    <row r="91" spans="1:12">
      <c r="A91" s="132"/>
      <c r="F91" s="132"/>
      <c r="L91" s="14"/>
    </row>
    <row r="92" spans="1:12">
      <c r="A92" s="132"/>
      <c r="F92" s="132"/>
      <c r="L92" s="14"/>
    </row>
    <row r="93" spans="1:12">
      <c r="A93" s="132"/>
      <c r="F93" s="132"/>
      <c r="L93" s="14"/>
    </row>
    <row r="94" spans="1:12">
      <c r="A94" s="132"/>
      <c r="F94" s="132"/>
      <c r="L94" s="14"/>
    </row>
    <row r="95" spans="1:12">
      <c r="A95" s="132"/>
      <c r="F95" s="132"/>
      <c r="L95" s="14"/>
    </row>
    <row r="96" spans="1:12">
      <c r="A96" s="132"/>
      <c r="F96" s="132"/>
      <c r="L96" s="14"/>
    </row>
    <row r="97" spans="1:16">
      <c r="A97" s="132"/>
      <c r="F97" s="132"/>
      <c r="L97" s="14"/>
    </row>
    <row r="98" spans="1:16">
      <c r="A98" s="132"/>
      <c r="F98" s="132"/>
      <c r="L98" s="14"/>
    </row>
    <row r="99" spans="1:16">
      <c r="A99" s="132"/>
      <c r="F99" s="132"/>
      <c r="L99" s="14"/>
    </row>
    <row r="100" spans="1:16">
      <c r="A100" s="132"/>
      <c r="F100" s="132"/>
      <c r="L100" s="14"/>
    </row>
    <row r="101" spans="1:16">
      <c r="A101" s="132"/>
      <c r="F101" s="132"/>
      <c r="H101" s="54"/>
      <c r="L101" s="14"/>
      <c r="P101" s="11"/>
    </row>
    <row r="102" spans="1:16">
      <c r="A102" s="132"/>
      <c r="F102" s="132"/>
      <c r="H102" s="54"/>
      <c r="L102" s="14"/>
      <c r="P102" s="11"/>
    </row>
    <row r="103" spans="1:16">
      <c r="F103" s="132"/>
      <c r="L103" s="14"/>
    </row>
    <row r="104" spans="1:16">
      <c r="F104" s="132"/>
      <c r="L104" s="14"/>
    </row>
    <row r="105" spans="1:16">
      <c r="F105" s="132"/>
      <c r="L105" s="14"/>
    </row>
    <row r="106" spans="1:16">
      <c r="F106" s="132"/>
      <c r="L106" s="14"/>
    </row>
    <row r="107" spans="1:16">
      <c r="F107" s="132"/>
      <c r="L107" s="14"/>
    </row>
    <row r="108" spans="1:16">
      <c r="L108" s="14"/>
    </row>
    <row r="109" spans="1:16">
      <c r="L109" s="14"/>
    </row>
    <row r="110" spans="1:16">
      <c r="L110" s="14"/>
    </row>
    <row r="111" spans="1:16">
      <c r="L111" s="14"/>
    </row>
    <row r="112" spans="1:16">
      <c r="L112" s="14"/>
    </row>
    <row r="113" spans="12:12">
      <c r="L113" s="14"/>
    </row>
    <row r="114" spans="12:12">
      <c r="L114" s="14"/>
    </row>
    <row r="115" spans="12:12">
      <c r="L115" s="14"/>
    </row>
    <row r="116" spans="12:12">
      <c r="L116" s="14"/>
    </row>
    <row r="117" spans="12:12">
      <c r="L117" s="14"/>
    </row>
    <row r="118" spans="12:12">
      <c r="L118" s="14"/>
    </row>
    <row r="119" spans="12:12">
      <c r="L119" s="14"/>
    </row>
    <row r="120" spans="12:12">
      <c r="L120" s="14"/>
    </row>
    <row r="121" spans="12:12">
      <c r="L121" s="14"/>
    </row>
    <row r="122" spans="12:12">
      <c r="L122" s="14"/>
    </row>
  </sheetData>
  <sortState xmlns:xlrd2="http://schemas.microsoft.com/office/spreadsheetml/2017/richdata2" ref="G2:G34">
    <sortCondition ref="G2:G34"/>
  </sortState>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ontrol">
    <tabColor theme="1"/>
  </sheetPr>
  <sheetViews>
    <sheetView zoomScaleNormal="100" zoomScaleSheetLayoutView="100" workbookViewId="0">
      <selection activeCell="B1" sqref="B1:B1048576"/>
    </sheetView>
  </sheetViews>
  <sheetFormatPr baseColWidth="10" defaultColWidth="9.1640625" defaultRowHeight="15"/>
  <cols>
    <col min="1" max="1" width="35.1640625" customWidth="1"/>
    <col min="2" max="2" width="12.6640625" style="197" customWidth="1"/>
    <col min="3" max="3" width="34.1640625" style="43" customWidth="1"/>
    <col min="4" max="4" width="24.33203125" customWidth="1"/>
  </cols>
  <sheetData>
    <row r="1" spans="1:5">
      <c r="A1" t="s">
        <v>137</v>
      </c>
      <c r="B1" s="216">
        <v>17</v>
      </c>
      <c r="C1" t="s" s="43">
        <v>992</v>
      </c>
      <c r="D1" t="s">
        <v>1022</v>
      </c>
      <c r="E1" t="s">
        <v>366</v>
      </c>
    </row>
    <row r="2" spans="1:5">
      <c r="A2" t="s">
        <v>1480</v>
      </c>
      <c r="B2" s="216">
        <v>192</v>
      </c>
      <c r="C2" t="s" s="43">
        <v>566</v>
      </c>
      <c r="D2" t="s">
        <v>1045</v>
      </c>
      <c r="E2" t="s">
        <v>1069</v>
      </c>
    </row>
    <row r="3" spans="1:5">
      <c r="A3" t="s">
        <v>201</v>
      </c>
      <c r="B3" s="197">
        <v>50</v>
      </c>
      <c r="C3" s="43">
        <v>50</v>
      </c>
    </row>
    <row r="4" spans="1:5">
      <c r="A4" t="s">
        <v>1081</v>
      </c>
      <c r="B4" s="216">
        <v>27</v>
      </c>
      <c r="C4" t="s" s="43">
        <v>1437</v>
      </c>
    </row>
    <row r="5" spans="1:5">
      <c r="A5" t="s">
        <v>578</v>
      </c>
      <c r="B5" s="216">
        <v>9</v>
      </c>
      <c r="C5" t="s" s="43">
        <v>1128</v>
      </c>
    </row>
    <row r="6" spans="1:5">
      <c r="A6" t="s">
        <v>569</v>
      </c>
      <c r="B6" t="b" s="197">
        <v>1</v>
      </c>
      <c r="C6" t="b" s="43">
        <v>0</v>
      </c>
    </row>
    <row r="7" spans="1:5">
      <c r="A7" t="s">
        <v>1384</v>
      </c>
      <c r="B7" s="216">
        <f>LEFT(Setup_Sheet!D7,1)</f>
      </c>
      <c r="C7" t="s" s="43">
        <v>1233</v>
      </c>
    </row>
    <row r="8" spans="1:5">
      <c r="A8" t="s">
        <v>953</v>
      </c>
      <c r="B8" t="b" s="197">
        <v>1</v>
      </c>
      <c r="C8" t="b" s="43">
        <v>0</v>
      </c>
    </row>
    <row r="9" spans="1:5">
      <c r="A9" t="s">
        <v>1832</v>
      </c>
      <c r="B9" t="b" s="197">
        <v>1</v>
      </c>
      <c r="C9" t="b" s="43">
        <v>0</v>
      </c>
    </row>
    <row r="10" spans="1:5">
      <c r="A10" t="s">
        <v>1221</v>
      </c>
      <c r="B10" s="216">
        <v>7</v>
      </c>
      <c r="C10" t="s" s="43">
        <v>1434</v>
      </c>
    </row>
    <row r="11" spans="1:5">
      <c r="A11" t="s">
        <v>1619</v>
      </c>
      <c r="B11" s="197">
        <v>4</v>
      </c>
      <c r="C11" s="43">
        <v>4</v>
      </c>
    </row>
    <row r="12" spans="1:5">
      <c r="A12" t="s">
        <v>551</v>
      </c>
      <c r="B12" s="197">
        <v>2</v>
      </c>
      <c r="C12" s="43">
        <v>2</v>
      </c>
    </row>
    <row r="13" spans="1:5">
      <c r="A13" t="s">
        <v>1326</v>
      </c>
      <c r="B13" t="s" s="197">
        <v>26</v>
      </c>
      <c r="C13" t="s" s="43">
        <v>1427</v>
      </c>
    </row>
    <row r="14" spans="1:5">
      <c r="A14" t="s">
        <v>529</v>
      </c>
      <c r="B14" t="b" s="197">
        <v>1</v>
      </c>
      <c r="C14" t="b" s="43">
        <v>0</v>
      </c>
    </row>
    <row r="15" spans="1:5">
      <c r="A15" t="s">
        <v>1080</v>
      </c>
      <c r="B15" t="s" s="197">
        <v>622</v>
      </c>
      <c r="C15" t="s" s="43">
        <v>643</v>
      </c>
    </row>
    <row r="16" spans="1:5">
      <c r="A16" t="s">
        <v>58</v>
      </c>
      <c r="B16" t="s" s="197">
        <v>794</v>
      </c>
      <c r="C16" t="s" s="43">
        <v>1634</v>
      </c>
    </row>
    <row r="17" spans="1:2">
      <c r="A17" t="s">
        <v>637</v>
      </c>
      <c r="B17" t="s" s="197">
        <v>1774</v>
      </c>
    </row>
    <row r="18" spans="1:2">
      <c r="A18" t="s">
        <v>1869</v>
      </c>
    </row>
    <row r="19" spans="1:2">
      <c r="A19" t="s">
        <v>1869</v>
      </c>
    </row>
    <row r="20" spans="1:2">
      <c r="A20" t="s">
        <v>1869</v>
      </c>
    </row>
    <row r="21" spans="1:2">
      <c r="A21" t="s">
        <v>1869</v>
      </c>
    </row>
    <row r="22" spans="1:2">
      <c r="A22" t="s">
        <v>1869</v>
      </c>
    </row>
    <row r="23" spans="1:2">
      <c r="A23" t="s">
        <v>1869</v>
      </c>
    </row>
    <row r="24" spans="1:2">
      <c r="A24" t="s">
        <v>1869</v>
      </c>
    </row>
    <row r="25" spans="1:2">
      <c r="A25" t="s">
        <v>1870</v>
      </c>
      <c r="B25" t="b" s="197">
        <v>1</v>
      </c>
    </row>
    <row r="26" spans="1:2">
      <c r="A26" t="s">
        <v>1871</v>
      </c>
      <c r="B26" s="197">
        <v>1.35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tart">
    <tabColor rgb="FF0070C0"/>
  </sheetPr>
  <sheetViews>
    <sheetView showGridLines="0" zoomScaleNormal="100" zoomScaleSheetLayoutView="100" workbookViewId="0">
      <selection activeCell="H19" sqref="H19"/>
    </sheetView>
  </sheetViews>
  <sheetFormatPr baseColWidth="10" defaultColWidth="8.83203125" defaultRowHeight="15"/>
  <sheetData>
    <row r="9" spans="3:16" ht="15" customHeight="1">
      <c r="C9" t="s" s="266">
        <v>802</v>
      </c>
      <c r="D9" s="266"/>
      <c r="E9" s="266"/>
      <c r="F9" s="266"/>
      <c r="G9" s="266"/>
      <c r="H9" s="266"/>
      <c r="I9" s="266"/>
      <c r="J9" s="266"/>
      <c r="K9" s="266"/>
      <c r="L9" s="266"/>
      <c r="M9" s="266"/>
      <c r="N9" s="266"/>
      <c r="O9" s="266"/>
      <c r="P9" s="266"/>
    </row>
    <row r="10" spans="3:16" ht="15" customHeight="1">
      <c r="C10" s="266"/>
      <c r="D10" s="266"/>
      <c r="E10" s="266"/>
      <c r="F10" s="266"/>
      <c r="G10" s="266"/>
      <c r="H10" s="266"/>
      <c r="I10" s="266"/>
      <c r="J10" s="266"/>
      <c r="K10" s="266"/>
      <c r="L10" s="266"/>
      <c r="M10" s="266"/>
      <c r="N10" s="266"/>
      <c r="O10" s="266"/>
      <c r="P10" s="266"/>
    </row>
    <row r="11" spans="3:16" ht="15" customHeight="1">
      <c r="C11" s="266"/>
      <c r="D11" s="266"/>
      <c r="E11" s="266"/>
      <c r="F11" s="266"/>
      <c r="G11" s="266"/>
      <c r="H11" s="266"/>
      <c r="I11" s="266"/>
      <c r="J11" s="266"/>
      <c r="K11" s="266"/>
      <c r="L11" s="266"/>
      <c r="M11" s="266"/>
      <c r="N11" s="266"/>
      <c r="O11" s="266"/>
      <c r="P11" s="266"/>
    </row>
    <row r="12" spans="3:16" ht="15" customHeight="1">
      <c r="C12" t="s" s="266">
        <v>1118</v>
      </c>
      <c r="D12" s="266"/>
      <c r="E12" s="266"/>
      <c r="F12" s="266"/>
      <c r="G12" s="266"/>
      <c r="H12" s="266"/>
      <c r="I12" s="266"/>
      <c r="J12" s="266"/>
      <c r="K12" s="266"/>
      <c r="L12" s="266"/>
      <c r="M12" s="266"/>
      <c r="N12" s="266"/>
      <c r="O12" s="266"/>
      <c r="P12" s="266"/>
    </row>
    <row r="13" spans="3:16" ht="15" customHeight="1">
      <c r="C13" s="266"/>
      <c r="D13" s="266"/>
      <c r="E13" s="266"/>
      <c r="F13" s="266"/>
      <c r="G13" s="266"/>
      <c r="H13" s="266"/>
      <c r="I13" s="266"/>
      <c r="J13" s="266"/>
      <c r="K13" s="266"/>
      <c r="L13" s="266"/>
      <c r="M13" s="266"/>
      <c r="N13" s="266"/>
      <c r="O13" s="266"/>
      <c r="P13" s="266"/>
    </row>
    <row r="14" spans="3:16" ht="15" customHeight="1">
      <c r="C14" s="266"/>
      <c r="D14" s="266"/>
      <c r="E14" s="266"/>
      <c r="F14" s="266"/>
      <c r="G14" s="266"/>
      <c r="H14" s="266"/>
      <c r="I14" s="266"/>
      <c r="J14" s="266"/>
      <c r="K14" s="266"/>
      <c r="L14" s="266"/>
      <c r="M14" s="266"/>
      <c r="N14" s="266"/>
      <c r="O14" s="266"/>
      <c r="P14" s="266"/>
    </row>
    <row r="15" spans="3:16" ht="15" customHeight="1">
      <c r="C15" s="176"/>
      <c r="D15" s="176"/>
      <c r="E15" s="176"/>
      <c r="F15" s="176"/>
      <c r="G15" s="176"/>
      <c r="H15" s="176"/>
      <c r="I15" s="176"/>
      <c r="J15" s="176"/>
      <c r="K15" s="176"/>
      <c r="L15" s="176"/>
      <c r="M15" s="176"/>
      <c r="N15" s="176"/>
      <c r="O15" s="176"/>
      <c r="P15" s="176"/>
    </row>
    <row r="16" spans="3:16" ht="15" customHeight="1">
      <c r="C16" s="176"/>
      <c r="D16" s="176"/>
      <c r="E16" s="176"/>
      <c r="F16" s="176"/>
      <c r="G16" s="176"/>
      <c r="H16" s="176"/>
      <c r="I16" s="176"/>
      <c r="J16" s="176"/>
      <c r="K16" s="176"/>
      <c r="L16" s="176"/>
      <c r="M16" s="176"/>
      <c r="N16" s="176"/>
      <c r="O16" s="176"/>
      <c r="P16" s="176"/>
    </row>
    <row r="17" spans="3:16" ht="15" customHeight="1">
      <c r="C17" s="176"/>
      <c r="D17" s="176"/>
      <c r="E17" s="176"/>
      <c r="F17" s="176"/>
      <c r="G17" s="176"/>
      <c r="H17" s="176"/>
      <c r="I17" s="176"/>
      <c r="J17" s="176"/>
      <c r="K17" s="176"/>
      <c r="L17" s="176"/>
      <c r="M17" s="176"/>
      <c r="N17" s="176"/>
      <c r="O17" s="176"/>
      <c r="P17" s="176"/>
    </row>
    <row r="18" spans="3:16" ht="15" customHeight="1">
      <c r="C18" s="176"/>
      <c r="D18" s="176"/>
      <c r="E18" s="176"/>
      <c r="F18" s="176"/>
      <c r="G18" s="176"/>
      <c r="H18" s="176"/>
      <c r="I18" s="176"/>
      <c r="J18" s="176"/>
      <c r="K18" s="176"/>
      <c r="L18" s="176"/>
      <c r="M18" s="176"/>
      <c r="N18" s="176"/>
      <c r="O18" s="176"/>
      <c r="P18" s="176"/>
    </row>
    <row r="19" spans="3:16" ht="15" customHeight="1">
      <c r="C19" s="176"/>
      <c r="D19" s="176"/>
      <c r="E19" s="176"/>
      <c r="F19" s="176"/>
      <c r="G19" s="176"/>
      <c r="H19" s="176"/>
      <c r="I19" s="176"/>
      <c r="J19" s="176"/>
      <c r="K19" s="176"/>
      <c r="L19" s="176"/>
      <c r="M19" s="176"/>
      <c r="N19" s="176"/>
      <c r="O19" s="176"/>
      <c r="P19" s="176"/>
    </row>
    <row r="20" spans="3:16" ht="15" customHeight="1">
      <c r="C20" s="176"/>
      <c r="D20" s="176"/>
      <c r="E20" s="176"/>
      <c r="F20" s="176"/>
      <c r="G20" s="176"/>
      <c r="H20" s="176"/>
      <c r="I20" s="176"/>
      <c r="J20" s="176"/>
      <c r="K20" s="176"/>
      <c r="L20" s="176"/>
      <c r="M20" s="176"/>
      <c r="N20" s="176"/>
      <c r="O20" s="176"/>
      <c r="P20" s="176"/>
    </row>
    <row r="21" spans="3:16" ht="15" customHeight="1">
      <c r="C21" s="176"/>
      <c r="D21" s="176"/>
      <c r="E21" s="176"/>
      <c r="F21" s="176"/>
      <c r="G21" s="176"/>
      <c r="H21" s="176"/>
      <c r="I21" s="176"/>
      <c r="J21" s="176"/>
      <c r="K21" s="176"/>
      <c r="L21" s="176"/>
      <c r="M21" s="176"/>
      <c r="N21" s="176"/>
      <c r="O21" s="176"/>
      <c r="P21" s="176"/>
    </row>
    <row r="22" spans="3:16" ht="15" customHeight="1">
      <c r="C22" s="176"/>
      <c r="D22" s="176"/>
      <c r="E22" s="176"/>
      <c r="F22" s="176"/>
      <c r="G22" s="176"/>
      <c r="H22" s="176"/>
      <c r="I22" s="176"/>
      <c r="J22" s="176"/>
      <c r="K22" s="176"/>
      <c r="L22" s="176"/>
      <c r="M22" s="176"/>
      <c r="N22" s="176"/>
      <c r="O22" s="176"/>
      <c r="P22" s="176"/>
    </row>
  </sheetData>
  <sheetProtection sheet="1" objects="1" scenarios="1"/>
  <mergeCells count="2">
    <mergeCell ref="C9:P11"/>
    <mergeCell ref="C12:P1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UD_DATA">
    <tabColor rgb="FFFFC000"/>
  </sheetPr>
  <sheetViews>
    <sheetView showGridLines="0" topLeftCell="FZ1" zoomScale="90" zoomScaleNormal="90" zoomScaleSheetLayoutView="100" workbookViewId="0">
      <selection activeCell="GY1" sqref="GY1"/>
    </sheetView>
  </sheetViews>
  <sheetFormatPr baseColWidth="10" defaultColWidth="9.1640625" defaultRowHeight="12"/>
  <cols>
    <col min="1" max="1" width="10" style="191" customWidth="1"/>
    <col min="2" max="2" width="9.33203125" style="191" customWidth="1"/>
    <col min="3" max="3" width="10.6640625" style="191" customWidth="1"/>
    <col min="4" max="4" width="18.5" style="191" customWidth="1"/>
    <col min="5" max="5" width="19.5" style="191" customWidth="1"/>
    <col min="6" max="6" width="19.1640625" style="191" customWidth="1"/>
    <col min="7" max="7" width="13.5" style="191" customWidth="1"/>
    <col min="8" max="8" width="17.33203125" style="191" customWidth="1"/>
    <col min="9" max="9" width="16.6640625" style="191" customWidth="1"/>
    <col min="10" max="10" width="21.1640625" style="191" customWidth="1"/>
    <col min="11" max="11" width="13.33203125" style="191" customWidth="1"/>
    <col min="12" max="12" width="6.83203125" style="191" customWidth="1"/>
    <col min="13" max="14" width="11.5" style="191" customWidth="1"/>
    <col min="15" max="15" width="10.6640625" style="191" customWidth="1"/>
    <col min="16" max="16" width="27" style="191" customWidth="1"/>
    <col min="17" max="17" width="5.33203125" style="191" customWidth="1"/>
    <col min="18" max="18" width="19" style="191" customWidth="1"/>
    <col min="19" max="19" width="16.83203125" style="191" customWidth="1"/>
    <col min="20" max="20" width="18.5" style="191" customWidth="1"/>
    <col min="21" max="21" width="16.1640625" style="191" customWidth="1"/>
    <col min="22" max="22" width="15.5" style="191" customWidth="1"/>
    <col min="23" max="23" width="9.5" style="191" customWidth="1"/>
    <col min="24" max="24" width="8.5" style="191" customWidth="1"/>
    <col min="25" max="25" width="7.83203125" style="191" customWidth="1"/>
    <col min="26" max="26" width="10.83203125" style="191" customWidth="1"/>
    <col min="27" max="27" width="10.6640625" style="191" customWidth="1"/>
    <col min="28" max="28" width="4.6640625" style="191" customWidth="1"/>
    <col min="29" max="29" width="11.5" style="191" customWidth="1"/>
    <col min="30" max="31" width="12.5" style="191" customWidth="1"/>
    <col min="32" max="32" width="15.6640625" style="191" customWidth="1"/>
    <col min="33" max="33" width="14.83203125" style="39" customWidth="1"/>
    <col min="34" max="34" width="10.5" style="191" customWidth="1"/>
    <col min="35" max="35" width="13.33203125" style="191" customWidth="1"/>
    <col min="36" max="36" width="21.5" style="191" customWidth="1"/>
    <col min="37" max="37" width="10.5" style="191" customWidth="1"/>
    <col min="38" max="38" width="12.1640625" style="191" customWidth="1"/>
    <col min="39" max="39" width="16.5" style="191" customWidth="1"/>
    <col min="40" max="40" width="15.5" style="191" customWidth="1"/>
    <col min="41" max="41" width="20" style="191" customWidth="1"/>
    <col min="42" max="42" width="12" style="191" customWidth="1"/>
    <col min="43" max="43" width="19.1640625" style="191" customWidth="1"/>
    <col min="44" max="44" width="12.83203125" style="191" customWidth="1"/>
    <col min="45" max="45" width="16.83203125" style="191" customWidth="1"/>
    <col min="46" max="46" width="9.6640625" style="191" customWidth="1"/>
    <col min="47" max="47" width="23.5" style="191" customWidth="1"/>
    <col min="48" max="49" width="9.33203125" style="191" customWidth="1"/>
    <col min="50" max="50" width="8.83203125" style="191" customWidth="1"/>
    <col min="51" max="51" width="5.1640625" style="191" customWidth="1"/>
    <col min="52" max="52" width="13.5" style="191" customWidth="1"/>
    <col min="53" max="53" width="18.83203125" style="191" customWidth="1"/>
    <col min="54" max="54" width="23" style="191" customWidth="1"/>
    <col min="55" max="55" width="14.1640625" style="191" customWidth="1"/>
    <col min="56" max="56" width="16.1640625" style="191" customWidth="1"/>
    <col min="57" max="57" width="15.6640625" style="191" customWidth="1"/>
    <col min="58" max="58" width="19.5" style="191" customWidth="1"/>
    <col min="59" max="59" width="14" style="191" customWidth="1"/>
    <col min="60" max="60" width="9.5" style="191" customWidth="1"/>
    <col min="61" max="61" width="11.83203125" style="191" customWidth="1"/>
    <col min="62" max="62" width="22.33203125" style="191" customWidth="1"/>
    <col min="63" max="63" width="14.33203125" style="90" customWidth="1"/>
    <col min="64" max="64" width="17.5" style="191" customWidth="1"/>
    <col min="65" max="65" width="11.5" style="191" customWidth="1"/>
    <col min="66" max="66" width="13.1640625" style="191" customWidth="1"/>
    <col min="67" max="67" width="13.6640625" style="191" customWidth="1"/>
    <col min="68" max="68" width="13.5" style="191" customWidth="1"/>
    <col min="69" max="70" width="14.5" style="191" customWidth="1"/>
    <col min="71" max="71" width="11" style="191" customWidth="1"/>
    <col min="72" max="72" width="19.5" style="191" customWidth="1"/>
    <col min="73" max="73" width="12.33203125" style="191" customWidth="1"/>
    <col min="74" max="74" width="8.5" style="191" customWidth="1"/>
    <col min="75" max="75" width="9.5" style="191" customWidth="1"/>
    <col min="76" max="76" width="11.5" style="191" customWidth="1"/>
    <col min="77" max="79" width="13.5" style="191" customWidth="1"/>
    <col min="80" max="80" width="20.33203125" style="191" customWidth="1"/>
    <col min="81" max="81" width="24.33203125" style="191" customWidth="1"/>
    <col min="82" max="82" width="13.6640625" style="191" customWidth="1"/>
    <col min="83" max="83" width="12.5" style="191" customWidth="1"/>
    <col min="84" max="84" width="18.5" style="191" customWidth="1"/>
    <col min="85" max="85" width="15.5" style="191" customWidth="1"/>
    <col min="86" max="86" width="15.1640625" style="191" customWidth="1"/>
    <col min="87" max="87" width="16.5" style="191" customWidth="1"/>
    <col min="88" max="88" width="25.1640625" style="191" customWidth="1"/>
    <col min="89" max="89" width="26.5" style="191" customWidth="1"/>
    <col min="90" max="90" width="22.1640625" style="191" customWidth="1"/>
    <col min="91" max="91" width="22.33203125" style="191" customWidth="1"/>
    <col min="92" max="92" width="21" style="191" customWidth="1"/>
    <col min="93" max="94" width="18.33203125" style="191" customWidth="1"/>
    <col min="95" max="95" width="24.33203125" style="191" customWidth="1"/>
    <col min="96" max="96" width="23.1640625" style="191" customWidth="1"/>
    <col min="97" max="97" width="8.83203125" style="191" customWidth="1"/>
    <col min="98" max="98" width="14.6640625" style="191" customWidth="1"/>
    <col min="99" max="99" width="17.5" style="191" customWidth="1"/>
    <col min="100" max="100" width="20.6640625" style="191" customWidth="1"/>
    <col min="101" max="101" width="13.5" style="191" customWidth="1"/>
    <col min="102" max="102" width="20.5" style="191" customWidth="1"/>
    <col min="103" max="103" width="14.5" style="191" customWidth="1"/>
    <col min="104" max="104" width="18" style="191" customWidth="1"/>
    <col min="105" max="105" width="23.83203125" style="191" customWidth="1"/>
    <col min="106" max="106" width="20.5" style="191" customWidth="1"/>
    <col min="107" max="107" width="30.5" style="191" customWidth="1"/>
    <col min="108" max="108" width="28.5" style="191" customWidth="1"/>
    <col min="109" max="109" width="27.1640625" style="191" customWidth="1"/>
    <col min="110" max="110" width="18.5" style="191" customWidth="1"/>
    <col min="111" max="111" width="21.5" style="191" customWidth="1"/>
    <col min="112" max="112" width="18.33203125" style="191" customWidth="1"/>
    <col min="113" max="113" width="17.5" style="191" customWidth="1"/>
    <col min="114" max="114" width="16.83203125" style="191" customWidth="1"/>
    <col min="115" max="116" width="12" style="191" customWidth="1"/>
    <col min="117" max="117" width="21.5" style="191" customWidth="1"/>
    <col min="118" max="118" width="13.1640625" style="73" customWidth="1"/>
    <col min="119" max="119" width="13.33203125" style="73" customWidth="1"/>
    <col min="120" max="120" width="13.5" style="73" customWidth="1"/>
    <col min="121" max="121" width="12.5" style="73" customWidth="1"/>
    <col min="122" max="122" width="14.6640625" style="191" customWidth="1"/>
    <col min="123" max="123" width="16.6640625" style="191" customWidth="1"/>
    <col min="124" max="124" width="21.1640625" style="191" customWidth="1"/>
    <col min="125" max="125" width="20.5" style="191" customWidth="1"/>
    <col min="126" max="126" width="15.5" style="90" customWidth="1"/>
    <col min="127" max="127" width="15" style="90" customWidth="1"/>
    <col min="128" max="128" width="15.5" style="90" customWidth="1"/>
    <col min="129" max="129" width="14.6640625" style="90" customWidth="1"/>
    <col min="130" max="130" width="10.5" style="191" customWidth="1"/>
    <col min="131" max="131" width="3.83203125" style="191" customWidth="1"/>
    <col min="132" max="132" width="8.5" style="191" customWidth="1"/>
    <col min="133" max="133" width="10.6640625" style="191" customWidth="1"/>
    <col min="134" max="134" width="10.5" style="191" customWidth="1"/>
    <col min="135" max="135" width="12.5" style="191" customWidth="1"/>
    <col min="136" max="136" width="8.1640625" style="191" customWidth="1"/>
    <col min="137" max="137" width="18.1640625" style="191" customWidth="1"/>
    <col min="138" max="138" width="15.83203125" style="191" customWidth="1"/>
    <col min="139" max="139" width="3.5" style="191" customWidth="1"/>
    <col min="140" max="140" width="22.5" style="191" customWidth="1"/>
    <col min="141" max="141" width="15" style="191" customWidth="1"/>
    <col min="142" max="142" width="8.33203125" style="191" customWidth="1"/>
    <col min="143" max="143" width="10.5" style="191" customWidth="1"/>
    <col min="144" max="144" width="9.83203125" style="191" customWidth="1"/>
    <col min="145" max="145" width="13.33203125" style="191" customWidth="1"/>
    <col min="146" max="146" width="8.6640625" style="191" customWidth="1"/>
    <col min="147" max="147" width="19.33203125" style="191" customWidth="1"/>
    <col min="148" max="148" width="19" style="191" customWidth="1"/>
    <col min="149" max="149" width="14.5" style="49" customWidth="1"/>
    <col min="150" max="150" width="19.33203125" style="191" customWidth="1"/>
    <col min="151" max="151" width="19" style="191" customWidth="1"/>
    <col min="152" max="152" width="14.5" style="49" customWidth="1"/>
    <col min="153" max="153" width="19.33203125" style="191" customWidth="1"/>
    <col min="154" max="154" width="19" style="191" customWidth="1"/>
    <col min="155" max="155" width="14.5" style="49" customWidth="1"/>
    <col min="156" max="156" width="19.33203125" style="191" customWidth="1"/>
    <col min="157" max="157" width="19" style="191" customWidth="1"/>
    <col min="158" max="158" width="14.5" style="49" customWidth="1"/>
    <col min="159" max="159" width="19.33203125" style="191" customWidth="1"/>
    <col min="160" max="160" width="19" style="191" customWidth="1"/>
    <col min="161" max="161" width="14.5" style="191" customWidth="1"/>
    <col min="162" max="162" width="19.33203125" style="191" customWidth="1"/>
    <col min="163" max="163" width="19" style="191" customWidth="1"/>
    <col min="164" max="164" width="14.5" style="191" customWidth="1"/>
    <col min="165" max="165" width="19.33203125" style="191" customWidth="1"/>
    <col min="166" max="166" width="19" style="191" customWidth="1"/>
    <col min="167" max="167" width="14.5" style="191" customWidth="1"/>
    <col min="168" max="168" width="19.33203125" style="191" customWidth="1"/>
    <col min="169" max="169" width="19" style="191" customWidth="1"/>
    <col min="170" max="170" width="14.5" style="191" customWidth="1"/>
    <col min="171" max="171" width="19.33203125" style="191" customWidth="1"/>
    <col min="172" max="172" width="19" style="191" customWidth="1"/>
    <col min="173" max="173" width="14.5" style="191" customWidth="1"/>
    <col min="174" max="174" width="7.83203125" style="191" customWidth="1"/>
    <col min="175" max="183" width="8.5" style="191" customWidth="1"/>
    <col min="184" max="184" width="8.33203125" style="191" customWidth="1"/>
    <col min="185" max="185" width="15" style="191" customWidth="1"/>
    <col min="186" max="186" width="9.33203125" style="90" customWidth="1"/>
    <col min="187" max="187" width="8.1640625" style="191" customWidth="1"/>
    <col min="188" max="189" width="9" style="191" customWidth="1"/>
    <col min="190" max="191" width="4.6640625" style="191" customWidth="1"/>
    <col min="192" max="192" width="22.5" style="191" customWidth="1"/>
    <col min="193" max="193" width="4" style="191" customWidth="1"/>
    <col min="194" max="194" width="14.1640625" style="191" customWidth="1"/>
    <col min="195" max="199" width="13.83203125" style="191" customWidth="1"/>
    <col min="200" max="200" width="9.5" style="191" customWidth="1"/>
    <col min="201" max="201" width="14.5" style="191" customWidth="1"/>
    <col min="202" max="202" width="11.1640625" style="191" customWidth="1"/>
    <col min="203" max="203" width="14.33203125" style="191" customWidth="1"/>
    <col min="204" max="206" width="12" style="191" customWidth="1"/>
    <col min="207" max="16384" width="9.1640625" style="191"/>
  </cols>
  <sheetData>
    <row r="1" spans="1:206">
      <c r="A1" t="s" s="151">
        <v>445</v>
      </c>
      <c r="B1" t="s" s="30">
        <v>1313</v>
      </c>
      <c r="C1" t="s" s="30">
        <v>1507</v>
      </c>
      <c r="D1" t="s" s="185">
        <v>107</v>
      </c>
      <c r="E1" t="s" s="30">
        <v>971</v>
      </c>
      <c r="F1" t="s" s="185">
        <v>1101</v>
      </c>
      <c r="G1" t="s" s="185">
        <v>1389</v>
      </c>
      <c r="H1" t="s" s="185">
        <v>472</v>
      </c>
      <c r="I1" t="s" s="185">
        <v>1533</v>
      </c>
      <c r="J1" t="s" s="185">
        <v>1581</v>
      </c>
      <c r="K1" t="s" s="30">
        <v>964</v>
      </c>
      <c r="L1" t="s" s="30">
        <v>1048</v>
      </c>
      <c r="M1" t="s" s="30">
        <v>1695</v>
      </c>
      <c r="N1" t="s" s="30">
        <v>858</v>
      </c>
      <c r="O1" t="s" s="30">
        <v>869</v>
      </c>
      <c r="P1" t="s" s="30">
        <v>1484</v>
      </c>
      <c r="Q1" t="s" s="30">
        <v>1269</v>
      </c>
      <c r="R1" t="s" s="185">
        <v>1746</v>
      </c>
      <c r="S1" t="s" s="30">
        <v>1726</v>
      </c>
      <c r="T1" t="s" s="129">
        <v>1555</v>
      </c>
      <c r="U1" t="s" s="30">
        <v>1401</v>
      </c>
      <c r="V1" t="s" s="30">
        <v>927</v>
      </c>
      <c r="W1" t="s" s="30">
        <v>1541</v>
      </c>
      <c r="X1" t="s" s="30">
        <v>533</v>
      </c>
      <c r="Y1" t="s" s="30">
        <v>1637</v>
      </c>
      <c r="Z1" t="s" s="30">
        <v>732</v>
      </c>
      <c r="AA1" t="s" s="30">
        <v>883</v>
      </c>
      <c r="AB1" t="s" s="30">
        <v>330</v>
      </c>
      <c r="AC1" t="s" s="30">
        <v>433</v>
      </c>
      <c r="AD1" t="s" s="30">
        <v>792</v>
      </c>
      <c r="AE1" t="s" s="30">
        <v>146</v>
      </c>
      <c r="AF1" t="s" s="30">
        <v>754</v>
      </c>
      <c r="AG1" t="s" s="30">
        <v>1157</v>
      </c>
      <c r="AH1" t="s" s="30">
        <v>1471</v>
      </c>
      <c r="AI1" t="s" s="30">
        <v>811</v>
      </c>
      <c r="AJ1" t="s" s="202">
        <v>1650</v>
      </c>
      <c r="AK1" t="s" s="30">
        <v>975</v>
      </c>
      <c r="AL1" t="s" s="30">
        <v>842</v>
      </c>
      <c r="AM1" t="s" s="185">
        <v>1754</v>
      </c>
      <c r="AN1" t="s" s="185">
        <v>109</v>
      </c>
      <c r="AO1" t="s" s="185">
        <v>346</v>
      </c>
      <c r="AP1" t="s" s="30">
        <v>210</v>
      </c>
      <c r="AQ1" t="s" s="30">
        <v>726</v>
      </c>
      <c r="AR1" t="s" s="30">
        <v>627</v>
      </c>
      <c r="AS1" t="s" s="202">
        <v>1034</v>
      </c>
      <c r="AT1" t="s" s="30">
        <v>369</v>
      </c>
      <c r="AU1" t="s" s="30">
        <v>1591</v>
      </c>
      <c r="AV1" t="s" s="30">
        <v>1854</v>
      </c>
      <c r="AW1" t="s" s="30">
        <v>78</v>
      </c>
      <c r="AX1" t="s" s="30">
        <v>1060</v>
      </c>
      <c r="AY1" t="s" s="30">
        <v>1360</v>
      </c>
      <c r="AZ1" t="s" s="30">
        <v>743</v>
      </c>
      <c r="BA1" t="s" s="30">
        <v>1421</v>
      </c>
      <c r="BB1" t="s" s="30">
        <v>286</v>
      </c>
      <c r="BC1" t="s" s="30">
        <v>704</v>
      </c>
      <c r="BD1" t="s" s="30">
        <v>1463</v>
      </c>
      <c r="BE1" t="s" s="30">
        <v>199</v>
      </c>
      <c r="BF1" t="s" s="30">
        <v>91</v>
      </c>
      <c r="BG1" t="s" s="30">
        <v>681</v>
      </c>
      <c r="BH1" t="s" s="30">
        <v>1135</v>
      </c>
      <c r="BI1" t="s" s="30">
        <v>285</v>
      </c>
      <c r="BJ1" t="s" s="30">
        <v>1208</v>
      </c>
      <c r="BK1" t="s" s="192">
        <v>1796</v>
      </c>
      <c r="BL1" t="s" s="30">
        <v>664</v>
      </c>
      <c r="BM1" t="s" s="185">
        <v>417</v>
      </c>
      <c r="BN1" t="s" s="185">
        <v>1016</v>
      </c>
      <c r="BO1" t="s" s="30">
        <v>297</v>
      </c>
      <c r="BP1" t="s" s="30">
        <v>213</v>
      </c>
      <c r="BQ1" t="s" s="30">
        <v>564</v>
      </c>
      <c r="BR1" t="s" s="185">
        <v>1688</v>
      </c>
      <c r="BS1" t="s" s="185">
        <v>591</v>
      </c>
      <c r="BT1" t="s" s="30">
        <v>1795</v>
      </c>
      <c r="BU1" t="s" s="30">
        <v>1400</v>
      </c>
      <c r="BV1" t="s" s="30">
        <v>941</v>
      </c>
      <c r="BW1" t="s" s="30">
        <v>874</v>
      </c>
      <c r="BX1" t="s" s="30">
        <v>990</v>
      </c>
      <c r="BY1" t="s" s="30">
        <v>1424</v>
      </c>
      <c r="BZ1" t="s" s="30">
        <v>1724</v>
      </c>
      <c r="CA1" t="s" s="30">
        <v>624</v>
      </c>
      <c r="CB1" t="s" s="30">
        <v>1097</v>
      </c>
      <c r="CC1" t="s" s="30">
        <v>496</v>
      </c>
      <c r="CD1" t="s" s="30">
        <v>745</v>
      </c>
      <c r="CE1" t="s" s="30">
        <v>1598</v>
      </c>
      <c r="CF1" t="s" s="30">
        <v>1280</v>
      </c>
      <c r="CG1" t="s" s="30">
        <v>1769</v>
      </c>
      <c r="CH1" t="s" s="30">
        <v>1495</v>
      </c>
      <c r="CI1" t="s" s="30">
        <v>981</v>
      </c>
      <c r="CJ1" t="s" s="30">
        <v>1085</v>
      </c>
      <c r="CK1" t="s" s="30">
        <v>5</v>
      </c>
      <c r="CL1" t="s" s="30">
        <v>808</v>
      </c>
      <c r="CM1" t="s" s="30">
        <v>1827</v>
      </c>
      <c r="CN1" t="s" s="30">
        <v>1109</v>
      </c>
      <c r="CO1" t="s" s="30">
        <v>1698</v>
      </c>
      <c r="CP1" t="s" s="30">
        <v>1361</v>
      </c>
      <c r="CQ1" t="s" s="30">
        <v>1253</v>
      </c>
      <c r="CR1" t="s" s="30">
        <v>314</v>
      </c>
      <c r="CS1" t="s" s="30">
        <v>261</v>
      </c>
      <c r="CT1" t="s" s="30">
        <v>84</v>
      </c>
      <c r="CU1" t="s" s="30">
        <v>66</v>
      </c>
      <c r="CV1" t="s" s="30">
        <v>1158</v>
      </c>
      <c r="CW1" t="s" s="30">
        <v>1786</v>
      </c>
      <c r="CX1" t="s" s="30">
        <v>1436</v>
      </c>
      <c r="CY1" t="s" s="30">
        <v>1737</v>
      </c>
      <c r="CZ1" t="s" s="30">
        <v>459</v>
      </c>
      <c r="DA1" t="s" s="30">
        <v>287</v>
      </c>
      <c r="DB1" t="s" s="30">
        <v>988</v>
      </c>
      <c r="DC1" t="s" s="30">
        <v>237</v>
      </c>
      <c r="DD1" t="s" s="30">
        <v>454</v>
      </c>
      <c r="DE1" t="s" s="30">
        <v>1651</v>
      </c>
      <c r="DF1" t="s" s="30">
        <v>1702</v>
      </c>
      <c r="DG1" t="s" s="185">
        <v>1385</v>
      </c>
      <c r="DH1" t="s" s="30">
        <v>1801</v>
      </c>
      <c r="DI1" t="s" s="30">
        <v>1685</v>
      </c>
      <c r="DJ1" t="s" s="30">
        <v>760</v>
      </c>
      <c r="DK1" t="s" s="30">
        <v>948</v>
      </c>
      <c r="DL1" t="s" s="30">
        <v>1035</v>
      </c>
      <c r="DM1" t="s" s="30">
        <v>915</v>
      </c>
      <c r="DN1" t="s" s="178">
        <v>1043</v>
      </c>
      <c r="DO1" t="s" s="178">
        <v>1266</v>
      </c>
      <c r="DP1" t="s" s="178">
        <v>1648</v>
      </c>
      <c r="DQ1" t="s" s="178">
        <v>497</v>
      </c>
      <c r="DR1" t="s" s="30">
        <v>728</v>
      </c>
      <c r="DS1" t="s" s="30">
        <v>1063</v>
      </c>
      <c r="DT1" t="s" s="30">
        <v>1545</v>
      </c>
      <c r="DU1" t="s" s="30">
        <v>1052</v>
      </c>
      <c r="DV1" t="s" s="192">
        <v>1126</v>
      </c>
      <c r="DW1" t="s" s="192">
        <v>1514</v>
      </c>
      <c r="DX1" t="s" s="192">
        <v>1828</v>
      </c>
      <c r="DY1" t="s" s="192">
        <v>584</v>
      </c>
      <c r="DZ1" t="s" s="30">
        <v>294</v>
      </c>
      <c r="EA1" t="s" s="30">
        <v>191</v>
      </c>
      <c r="EB1" t="s" s="79">
        <v>409</v>
      </c>
      <c r="EC1" t="s" s="30">
        <v>1070</v>
      </c>
      <c r="ED1" t="s" s="30">
        <v>153</v>
      </c>
      <c r="EE1" t="s" s="30">
        <v>1445</v>
      </c>
      <c r="EF1" t="s" s="30">
        <v>421</v>
      </c>
      <c r="EG1" t="s" s="30">
        <v>72</v>
      </c>
      <c r="EH1" t="s" s="30">
        <v>40</v>
      </c>
      <c r="EI1" t="s" s="185">
        <v>656</v>
      </c>
      <c r="EJ1" t="s" s="185">
        <v>969</v>
      </c>
      <c r="EK1" t="s" s="30">
        <v>1234</v>
      </c>
      <c r="EL1" t="s" s="185">
        <v>550</v>
      </c>
      <c r="EM1" t="s" s="185">
        <v>298</v>
      </c>
      <c r="EN1" t="s" s="185">
        <v>1168</v>
      </c>
      <c r="EO1" t="s" s="185">
        <v>1314</v>
      </c>
      <c r="EP1" t="s" s="185">
        <v>985</v>
      </c>
      <c r="EQ1" t="s" s="185">
        <v>896</v>
      </c>
      <c r="ER1" t="s" s="185">
        <v>377</v>
      </c>
      <c r="ES1" t="s" s="115">
        <v>463</v>
      </c>
      <c r="ET1" t="s" s="185">
        <v>647</v>
      </c>
      <c r="EU1" t="s" s="185">
        <v>1704</v>
      </c>
      <c r="EV1" t="s" s="115">
        <v>67</v>
      </c>
      <c r="EW1" t="s" s="185">
        <v>661</v>
      </c>
      <c r="EX1" t="s" s="185">
        <v>824</v>
      </c>
      <c r="EY1" t="s" s="115">
        <v>1286</v>
      </c>
      <c r="EZ1" t="s" s="185">
        <v>950</v>
      </c>
      <c r="FA1" t="s" s="185">
        <v>181</v>
      </c>
      <c r="FB1" t="s" s="115">
        <v>212</v>
      </c>
      <c r="FC1" t="s" s="185">
        <v>502</v>
      </c>
      <c r="FD1" t="s" s="185">
        <v>97</v>
      </c>
      <c r="FE1" t="s" s="185">
        <v>315</v>
      </c>
      <c r="FF1" t="s" s="185">
        <v>1173</v>
      </c>
      <c r="FG1" t="s" s="185">
        <v>508</v>
      </c>
      <c r="FH1" t="s" s="185">
        <v>1741</v>
      </c>
      <c r="FI1" t="s" s="185">
        <v>1757</v>
      </c>
      <c r="FJ1" t="s" s="185">
        <v>71</v>
      </c>
      <c r="FK1" t="s" s="185">
        <v>397</v>
      </c>
      <c r="FL1" t="s" s="185">
        <v>807</v>
      </c>
      <c r="FM1" t="s" s="185">
        <v>266</v>
      </c>
      <c r="FN1" t="s" s="30">
        <v>1417</v>
      </c>
      <c r="FO1" t="s" s="185">
        <v>1262</v>
      </c>
      <c r="FP1" t="s" s="185">
        <v>1270</v>
      </c>
      <c r="FQ1" t="s" s="185">
        <v>1145</v>
      </c>
      <c r="FR1" t="s" s="185">
        <v>1197</v>
      </c>
      <c r="FS1" t="s" s="185">
        <v>1485</v>
      </c>
      <c r="FT1" t="s" s="185">
        <v>350</v>
      </c>
      <c r="FU1" t="s" s="185">
        <v>1605</v>
      </c>
      <c r="FV1" t="s" s="185">
        <v>1375</v>
      </c>
      <c r="FW1" t="s" s="185">
        <v>291</v>
      </c>
      <c r="FX1" t="s" s="30">
        <v>125</v>
      </c>
      <c r="FY1" t="s" s="30">
        <v>79</v>
      </c>
      <c r="FZ1" t="s" s="30">
        <v>1129</v>
      </c>
      <c r="GA1" t="s" s="30">
        <v>853</v>
      </c>
      <c r="GB1" t="s" s="30">
        <v>698</v>
      </c>
      <c r="GC1" t="s" s="30">
        <v>1402</v>
      </c>
      <c r="GD1" t="s" s="192">
        <v>1155</v>
      </c>
      <c r="GE1" t="s" s="30">
        <v>1549</v>
      </c>
      <c r="GF1" t="s" s="30">
        <v>1582</v>
      </c>
      <c r="GG1" t="s" s="30">
        <v>1586</v>
      </c>
      <c r="GH1" t="s" s="30">
        <v>781</v>
      </c>
      <c r="GI1" t="s" s="30">
        <v>1472</v>
      </c>
      <c r="GJ1" t="s" s="30">
        <v>991</v>
      </c>
      <c r="GK1" t="s" s="30">
        <v>275</v>
      </c>
      <c r="GL1" t="s" s="30">
        <v>126</v>
      </c>
      <c r="GM1" t="s" s="236">
        <v>1107</v>
      </c>
      <c r="GN1" t="s" s="236">
        <v>1709</v>
      </c>
      <c r="GO1" t="s" s="236">
        <v>1018</v>
      </c>
      <c r="GP1" t="s" s="236">
        <v>1444</v>
      </c>
      <c r="GQ1" t="s" s="236">
        <v>1275</v>
      </c>
      <c r="GR1" t="s" s="236">
        <v>1644</v>
      </c>
      <c r="GS1" t="s" s="236">
        <v>458</v>
      </c>
      <c r="GT1" t="s" s="236">
        <v>582</v>
      </c>
      <c r="GU1" t="s" s="236">
        <v>1379</v>
      </c>
      <c r="GV1" t="s" s="236">
        <v>1084</v>
      </c>
      <c r="GW1" t="s" s="236">
        <v>697</v>
      </c>
      <c r="GX1" t="s" s="236">
        <v>924</v>
      </c>
    </row>
    <row r="2" spans="1:206">
      <c r="A2" s="174">
        <f ca="1">IF(ISERROR(OFFSET(Data!$E$1,VLOOKUP(A$1,SUD_MAP!$C:$D,2,0)-1,ROW(A2)-2)),"",IF(OFFSET(Data!$E$1,VLOOKUP(A$1,SUD_MAP!$C:$D,2,0)-1,ROW(A2)-2)="","",OFFSET(Data!$E$1,VLOOKUP(A$1,SUD_MAP!$C:$D,2,0)-1,ROW(A2)-2)))</f>
      </c>
      <c r="B2" s="140"/>
      <c r="C2" s="140"/>
      <c r="D2" s="140"/>
      <c r="E2" s="140"/>
      <c r="F2" s="140"/>
      <c r="G2" s="140"/>
      <c r="H2" s="140"/>
      <c r="I2" s="140"/>
      <c r="J2" s="140"/>
      <c r="K2" s="140"/>
      <c r="L2" s="140"/>
      <c r="M2" s="140"/>
      <c r="N2" s="140"/>
      <c r="O2" s="140"/>
      <c r="P2" s="140"/>
      <c r="Q2" s="140"/>
      <c r="R2" s="140"/>
      <c r="S2" s="140"/>
      <c r="T2" s="140"/>
      <c r="U2" s="140"/>
      <c r="V2" s="140"/>
      <c r="W2" s="140"/>
      <c r="X2" s="140"/>
      <c r="Y2" s="140"/>
      <c r="Z2" s="140"/>
      <c r="AA2" s="140"/>
      <c r="AB2" s="140"/>
      <c r="AC2" s="140"/>
      <c r="AD2" s="140"/>
      <c r="AE2" s="140"/>
      <c r="AF2" s="140"/>
      <c r="AG2" s="68"/>
      <c r="AH2" s="140"/>
      <c r="AI2" s="140"/>
      <c r="AJ2" s="140"/>
      <c r="AK2" s="140"/>
      <c r="AL2" s="140"/>
      <c r="AM2" s="140"/>
      <c r="AN2" s="140"/>
      <c r="AO2" s="140"/>
      <c r="AP2" s="140"/>
      <c r="AQ2" s="140"/>
      <c r="AR2" s="140"/>
      <c r="AS2" s="140"/>
      <c r="AT2" s="140"/>
      <c r="AU2" s="140"/>
      <c r="AV2" s="140"/>
      <c r="AW2" s="140"/>
      <c r="AX2" s="140"/>
      <c r="AY2" s="140"/>
      <c r="AZ2" s="140"/>
      <c r="BA2" s="140"/>
      <c r="BB2" s="140"/>
      <c r="BC2" s="140"/>
      <c r="BD2" s="140"/>
      <c r="BE2" s="140"/>
      <c r="BF2" s="140"/>
      <c r="BG2" s="140"/>
      <c r="BH2" s="140"/>
      <c r="BI2" s="140"/>
      <c r="BJ2" s="140"/>
      <c r="BK2" s="129"/>
      <c r="BL2" s="140"/>
      <c r="BM2" s="140"/>
      <c r="BN2" s="140"/>
      <c r="BO2" s="140"/>
      <c r="BP2" s="140"/>
      <c r="BQ2" s="140"/>
      <c r="BR2" s="140"/>
      <c r="BS2" s="140"/>
      <c r="BT2" s="140"/>
      <c r="BU2" s="140"/>
      <c r="BV2" s="140"/>
      <c r="BW2" s="140"/>
      <c r="BX2" s="140"/>
      <c r="BY2" s="140"/>
      <c r="BZ2" s="140"/>
      <c r="CA2" s="140"/>
      <c r="CB2" s="140"/>
      <c r="CC2" s="140"/>
      <c r="CD2" s="140"/>
      <c r="CE2" s="140"/>
      <c r="CF2" s="140"/>
      <c r="CG2" s="140"/>
      <c r="CH2" s="140"/>
      <c r="CI2" s="140"/>
      <c r="CJ2" s="140"/>
      <c r="CK2" s="140"/>
      <c r="CL2" s="140"/>
      <c r="CM2" s="140"/>
      <c r="CN2" s="140"/>
      <c r="CO2" s="140"/>
      <c r="CP2" s="140"/>
      <c r="CQ2" s="140"/>
      <c r="CR2" s="140"/>
      <c r="CS2" s="140"/>
      <c r="CT2" s="140"/>
      <c r="CU2" s="140"/>
      <c r="CV2" s="140"/>
      <c r="CW2" s="140"/>
      <c r="CX2" s="140"/>
      <c r="CY2" s="140"/>
      <c r="CZ2" s="140"/>
      <c r="DA2" s="140"/>
      <c r="DB2" s="140"/>
      <c r="DC2" s="140"/>
      <c r="DD2" s="140"/>
      <c r="DE2" s="140"/>
      <c r="DF2" s="140"/>
      <c r="DG2" s="140"/>
      <c r="DH2" s="140"/>
      <c r="DI2" s="140"/>
      <c r="DJ2" s="140"/>
      <c r="DK2" s="140"/>
      <c r="DL2" s="140"/>
      <c r="DM2" s="140"/>
      <c r="DN2" s="136"/>
      <c r="DO2" s="136"/>
      <c r="DP2" s="136"/>
      <c r="DQ2" s="136"/>
      <c r="DR2" s="140"/>
      <c r="DS2" s="140"/>
      <c r="DT2" s="140"/>
      <c r="DU2" s="140"/>
      <c r="DV2" s="129"/>
      <c r="DW2" s="129"/>
      <c r="DX2" s="129"/>
      <c r="DY2" s="129"/>
      <c r="DZ2" s="140"/>
      <c r="EA2" s="140"/>
      <c r="EB2" s="140"/>
      <c r="EC2" s="140"/>
      <c r="ED2" s="140"/>
      <c r="EE2" s="140"/>
      <c r="EF2" s="140"/>
      <c r="EG2" s="140"/>
      <c r="EH2" s="140"/>
      <c r="EI2" s="140"/>
      <c r="EJ2" s="140"/>
      <c r="EK2" s="140"/>
      <c r="EL2" s="140"/>
      <c r="EM2" s="140"/>
      <c r="EN2" s="140"/>
      <c r="EO2" s="140"/>
      <c r="EP2" s="140"/>
      <c r="EQ2" s="140"/>
      <c r="ER2" s="140"/>
      <c r="ES2" s="175"/>
      <c r="ET2" s="140"/>
      <c r="EU2" s="140"/>
      <c r="EV2" s="175"/>
      <c r="EW2" s="140"/>
      <c r="EX2" s="140"/>
      <c r="EY2" s="175"/>
      <c r="EZ2" s="140"/>
      <c r="FA2" s="140"/>
      <c r="FB2" s="175"/>
      <c r="FC2" s="140"/>
      <c r="FD2" s="140"/>
      <c r="FE2" s="129"/>
      <c r="FF2" s="140"/>
      <c r="FG2" s="140"/>
      <c r="FH2" s="129"/>
      <c r="FI2" s="140"/>
      <c r="FJ2" s="140"/>
      <c r="FK2" s="129"/>
      <c r="FL2" s="140"/>
      <c r="FM2" s="140"/>
      <c r="FN2" s="129"/>
      <c r="FO2" s="140"/>
      <c r="FP2" s="140"/>
      <c r="FQ2" s="129"/>
      <c r="FR2" s="140"/>
      <c r="FS2" s="140"/>
      <c r="FT2" s="140"/>
      <c r="FU2" s="140"/>
      <c r="FV2" s="140"/>
      <c r="FW2" s="140"/>
      <c r="FX2" s="140"/>
      <c r="FY2" s="140"/>
      <c r="FZ2" s="140"/>
      <c r="GA2" s="140"/>
      <c r="GB2" s="140"/>
      <c r="GC2" s="140"/>
      <c r="GD2" s="129"/>
      <c r="GE2" s="140"/>
      <c r="GF2" s="140"/>
      <c r="GG2" s="140"/>
      <c r="GH2" s="140"/>
      <c r="GI2" s="140"/>
      <c r="GJ2" s="140"/>
      <c r="GK2" s="140"/>
      <c r="GL2" s="140"/>
      <c r="GM2" s="64"/>
      <c r="GN2" s="64"/>
      <c r="GO2" s="64"/>
      <c r="GP2" s="64"/>
      <c r="GQ2" s="64"/>
      <c r="GR2" s="64"/>
      <c r="GS2" s="64"/>
      <c r="GT2" s="64"/>
      <c r="GU2" s="64"/>
      <c r="GV2" s="64"/>
      <c r="GW2" s="64"/>
      <c r="GX2" s="64"/>
    </row>
    <row r="3" spans="1:206">
      <c r="A3" s="174"/>
      <c r="B3" s="140"/>
      <c r="C3" s="140"/>
      <c r="D3" s="140"/>
      <c r="E3" s="140"/>
      <c r="F3" s="140"/>
      <c r="G3" s="140"/>
      <c r="H3" s="140"/>
      <c r="I3" s="140"/>
      <c r="J3" s="140"/>
      <c r="K3" s="140"/>
      <c r="L3" s="140"/>
      <c r="M3" s="140"/>
      <c r="N3" s="140"/>
      <c r="O3" s="140"/>
      <c r="P3" s="140"/>
      <c r="Q3" s="140"/>
      <c r="R3" s="140"/>
      <c r="S3" s="140"/>
      <c r="T3" s="140"/>
      <c r="U3" s="140"/>
      <c r="V3" s="140"/>
      <c r="W3" s="140"/>
      <c r="X3" s="140"/>
      <c r="Y3" s="140"/>
      <c r="Z3" s="140"/>
      <c r="AA3" s="140"/>
      <c r="AB3" s="140"/>
      <c r="AC3" s="140"/>
      <c r="AD3" s="140"/>
      <c r="AE3" s="140"/>
      <c r="AF3" s="140"/>
      <c r="AG3" s="68"/>
      <c r="AH3" s="140"/>
      <c r="AI3" s="140"/>
      <c r="AJ3" s="140"/>
      <c r="AK3" s="140"/>
      <c r="AL3" s="140"/>
      <c r="AM3" s="140"/>
      <c r="AN3" s="140"/>
      <c r="AO3" s="140"/>
      <c r="AP3" s="140"/>
      <c r="AQ3" s="140"/>
      <c r="AR3" s="140"/>
      <c r="AS3" s="140"/>
      <c r="AT3" s="140"/>
      <c r="AU3" s="140"/>
      <c r="AV3" s="140"/>
      <c r="AW3" s="140"/>
      <c r="AX3" s="140"/>
      <c r="AY3" s="140"/>
      <c r="AZ3" s="140"/>
      <c r="BA3" s="140"/>
      <c r="BB3" s="140"/>
      <c r="BC3" s="140"/>
      <c r="BD3" s="140"/>
      <c r="BE3" s="140"/>
      <c r="BF3" s="140"/>
      <c r="BG3" s="140"/>
      <c r="BH3" s="140"/>
      <c r="BI3" s="140"/>
      <c r="BJ3" s="140"/>
      <c r="BK3" s="129"/>
      <c r="BL3" s="140"/>
      <c r="BM3" s="140"/>
      <c r="BN3" s="140"/>
      <c r="BO3" s="140"/>
      <c r="BP3" s="140"/>
      <c r="BQ3" s="140"/>
      <c r="BR3" s="140"/>
      <c r="BS3" s="140"/>
      <c r="BT3" s="140"/>
      <c r="BU3" s="140"/>
      <c r="BV3" s="140"/>
      <c r="BW3" s="140"/>
      <c r="BX3" s="140"/>
      <c r="BY3" s="140"/>
      <c r="BZ3" s="140"/>
      <c r="CA3" s="140"/>
      <c r="CB3" s="140"/>
      <c r="CC3" s="140"/>
      <c r="CD3" s="140"/>
      <c r="CE3" s="140"/>
      <c r="CF3" s="140"/>
      <c r="CG3" s="140"/>
      <c r="CH3" s="140"/>
      <c r="CI3" s="140"/>
      <c r="CJ3" s="140"/>
      <c r="CK3" s="140"/>
      <c r="CL3" s="140"/>
      <c r="CM3" s="140"/>
      <c r="CN3" s="140"/>
      <c r="CO3" s="140"/>
      <c r="CP3" s="140"/>
      <c r="CQ3" s="140"/>
      <c r="CR3" s="140"/>
      <c r="CS3" s="140"/>
      <c r="CT3" s="140"/>
      <c r="CU3" s="140"/>
      <c r="CV3" s="140"/>
      <c r="CW3" s="140"/>
      <c r="CX3" s="140"/>
      <c r="CY3" s="140"/>
      <c r="CZ3" s="140"/>
      <c r="DA3" s="140"/>
      <c r="DB3" s="140"/>
      <c r="DC3" s="140"/>
      <c r="DD3" s="140"/>
      <c r="DE3" s="140"/>
      <c r="DF3" s="140"/>
      <c r="DG3" s="140"/>
      <c r="DH3" s="140"/>
      <c r="DI3" s="140"/>
      <c r="DJ3" s="140"/>
      <c r="DK3" s="140"/>
      <c r="DL3" s="140"/>
      <c r="DM3" s="140"/>
      <c r="DN3" s="136"/>
      <c r="DO3" s="136"/>
      <c r="DP3" s="136"/>
      <c r="DQ3" s="136"/>
      <c r="DR3" s="140"/>
      <c r="DS3" s="140"/>
      <c r="DT3" s="140"/>
      <c r="DU3" s="140"/>
      <c r="DV3" s="129"/>
      <c r="DW3" s="129"/>
      <c r="DX3" s="129"/>
      <c r="DY3" s="129"/>
      <c r="DZ3" s="140"/>
      <c r="EA3" s="140"/>
      <c r="EB3" s="140"/>
      <c r="EC3" s="140"/>
      <c r="ED3" s="140"/>
      <c r="EE3" s="140"/>
      <c r="EF3" s="140"/>
      <c r="EG3" s="140"/>
      <c r="EH3" s="140"/>
      <c r="EI3" s="140"/>
      <c r="EJ3" s="140"/>
      <c r="EK3" s="140"/>
      <c r="EL3" s="140"/>
      <c r="EM3" s="140"/>
      <c r="EN3" s="140"/>
      <c r="EO3" s="140"/>
      <c r="EP3" s="140"/>
      <c r="EQ3" s="140"/>
      <c r="ER3" s="140"/>
      <c r="ES3" s="175"/>
      <c r="ET3" s="140"/>
      <c r="EU3" s="140"/>
      <c r="EV3" s="175"/>
      <c r="EW3" s="140"/>
      <c r="EX3" s="140"/>
      <c r="EY3" s="175"/>
      <c r="EZ3" s="140"/>
      <c r="FA3" s="140"/>
      <c r="FB3" s="175"/>
      <c r="FC3" s="140"/>
      <c r="FD3" s="140"/>
      <c r="FE3" s="140"/>
      <c r="FF3" s="140"/>
      <c r="FG3" s="140"/>
      <c r="FH3" s="140"/>
      <c r="FI3" s="140"/>
      <c r="FJ3" s="140"/>
      <c r="FK3" s="140"/>
      <c r="FL3" s="140"/>
      <c r="FM3" s="140"/>
      <c r="FN3" s="140"/>
      <c r="FO3" s="140"/>
      <c r="FP3" s="140"/>
      <c r="FQ3" s="140"/>
      <c r="FR3" s="140"/>
      <c r="FS3" s="140"/>
      <c r="FT3" s="140"/>
      <c r="FU3" s="140"/>
      <c r="FV3" s="140"/>
      <c r="FW3" s="140"/>
      <c r="FX3" s="140"/>
      <c r="FY3" s="140"/>
      <c r="FZ3" s="140"/>
      <c r="GA3" s="140"/>
      <c r="GB3" s="140"/>
      <c r="GC3" s="140"/>
      <c r="GD3" s="129"/>
      <c r="GE3" s="140"/>
      <c r="GF3" s="140"/>
      <c r="GG3" s="140"/>
      <c r="GH3" s="140"/>
      <c r="GI3" s="140"/>
      <c r="GJ3" s="140"/>
      <c r="GK3" s="140"/>
      <c r="GL3" s="140"/>
      <c r="GM3" s="64"/>
      <c r="GN3" s="64"/>
      <c r="GO3" s="64"/>
      <c r="GP3" s="64"/>
      <c r="GQ3" s="64"/>
      <c r="GR3" s="64"/>
      <c r="GS3" s="64"/>
      <c r="GT3" s="64"/>
      <c r="GU3" s="64"/>
      <c r="GV3" s="64"/>
      <c r="GW3" s="64"/>
      <c r="GX3" s="64"/>
    </row>
    <row r="4" spans="1:206">
      <c r="A4" s="174"/>
      <c r="B4" s="140"/>
      <c r="C4" s="140"/>
      <c r="D4" s="140"/>
      <c r="E4" s="140"/>
      <c r="F4" s="140"/>
      <c r="G4" s="140"/>
      <c r="H4" s="140"/>
      <c r="I4" s="140"/>
      <c r="J4" s="140"/>
      <c r="K4" s="140"/>
      <c r="L4" s="140"/>
      <c r="M4" s="140"/>
      <c r="N4" s="140"/>
      <c r="O4" s="140"/>
      <c r="P4" s="140"/>
      <c r="Q4" s="140"/>
      <c r="R4" s="140"/>
      <c r="S4" s="140"/>
      <c r="T4" s="140"/>
      <c r="U4" s="140"/>
      <c r="V4" s="140"/>
      <c r="W4" s="140"/>
      <c r="X4" s="140"/>
      <c r="Y4" s="140"/>
      <c r="Z4" s="140"/>
      <c r="AA4" s="140"/>
      <c r="AB4" s="140"/>
      <c r="AC4" s="140"/>
      <c r="AD4" s="140"/>
      <c r="AE4" s="140"/>
      <c r="AF4" s="140"/>
      <c r="AG4" s="68"/>
      <c r="AH4" s="140"/>
      <c r="AI4" s="140"/>
      <c r="AJ4" s="140"/>
      <c r="AK4" s="140"/>
      <c r="AL4" s="140"/>
      <c r="AM4" s="140"/>
      <c r="AN4" s="140"/>
      <c r="AO4" s="140"/>
      <c r="AP4" s="140"/>
      <c r="AQ4" s="140"/>
      <c r="AR4" s="140"/>
      <c r="AS4" s="140"/>
      <c r="AT4" s="140"/>
      <c r="AU4" s="140"/>
      <c r="AV4" s="140"/>
      <c r="AW4" s="140"/>
      <c r="AX4" s="140"/>
      <c r="AY4" s="140"/>
      <c r="AZ4" s="140"/>
      <c r="BA4" s="140"/>
      <c r="BB4" s="140"/>
      <c r="BC4" s="140"/>
      <c r="BD4" s="140"/>
      <c r="BE4" s="140"/>
      <c r="BF4" s="140"/>
      <c r="BG4" s="140"/>
      <c r="BH4" s="140"/>
      <c r="BI4" s="140"/>
      <c r="BJ4" s="140"/>
      <c r="BK4" s="129"/>
      <c r="BL4" s="140"/>
      <c r="BM4" s="140"/>
      <c r="BN4" s="140"/>
      <c r="BO4" s="140"/>
      <c r="BP4" s="140"/>
      <c r="BQ4" s="140"/>
      <c r="BR4" s="140"/>
      <c r="BS4" s="140"/>
      <c r="BT4" s="140"/>
      <c r="BU4" s="140"/>
      <c r="BV4" s="140"/>
      <c r="BW4" s="140"/>
      <c r="BX4" s="140"/>
      <c r="BY4" s="140"/>
      <c r="BZ4" s="140"/>
      <c r="CA4" s="140"/>
      <c r="CB4" s="140"/>
      <c r="CC4" s="140"/>
      <c r="CD4" s="140"/>
      <c r="CE4" s="140"/>
      <c r="CF4" s="140"/>
      <c r="CG4" s="140"/>
      <c r="CH4" s="140"/>
      <c r="CI4" s="140"/>
      <c r="CJ4" s="140"/>
      <c r="CK4" s="140"/>
      <c r="CL4" s="140"/>
      <c r="CM4" s="140"/>
      <c r="CN4" s="140"/>
      <c r="CO4" s="140"/>
      <c r="CP4" s="140"/>
      <c r="CQ4" s="140"/>
      <c r="CR4" s="140"/>
      <c r="CS4" s="140"/>
      <c r="CT4" s="140"/>
      <c r="CU4" s="140"/>
      <c r="CV4" s="140"/>
      <c r="CW4" s="140"/>
      <c r="CX4" s="140"/>
      <c r="CY4" s="140"/>
      <c r="CZ4" s="140"/>
      <c r="DA4" s="140"/>
      <c r="DB4" s="140"/>
      <c r="DC4" s="140"/>
      <c r="DD4" s="140"/>
      <c r="DE4" s="140"/>
      <c r="DF4" s="140"/>
      <c r="DG4" s="140"/>
      <c r="DH4" s="140"/>
      <c r="DI4" s="140"/>
      <c r="DJ4" s="140"/>
      <c r="DK4" s="140"/>
      <c r="DL4" s="140"/>
      <c r="DM4" s="140"/>
      <c r="DN4" s="136"/>
      <c r="DO4" s="136"/>
      <c r="DP4" s="136"/>
      <c r="DQ4" s="136"/>
      <c r="DR4" s="140"/>
      <c r="DS4" s="140"/>
      <c r="DT4" s="140"/>
      <c r="DU4" s="140"/>
      <c r="DV4" s="129"/>
      <c r="DW4" s="129"/>
      <c r="DX4" s="129"/>
      <c r="DY4" s="129"/>
      <c r="DZ4" s="140"/>
      <c r="EA4" s="140"/>
      <c r="EB4" s="140"/>
      <c r="EC4" s="140"/>
      <c r="ED4" s="140"/>
      <c r="EE4" s="140"/>
      <c r="EF4" s="140"/>
      <c r="EG4" s="140"/>
      <c r="EH4" s="140"/>
      <c r="EI4" s="140"/>
      <c r="EJ4" s="140"/>
      <c r="EK4" s="140"/>
      <c r="EL4" s="140"/>
      <c r="EM4" s="140"/>
      <c r="EN4" s="140"/>
      <c r="EO4" s="140"/>
      <c r="EP4" s="140"/>
      <c r="EQ4" s="140"/>
      <c r="ER4" s="140"/>
      <c r="ES4" s="175"/>
      <c r="ET4" s="140"/>
      <c r="EU4" s="140"/>
      <c r="EV4" s="175"/>
      <c r="EW4" s="140"/>
      <c r="EX4" s="140"/>
      <c r="EY4" s="175"/>
      <c r="EZ4" s="140"/>
      <c r="FA4" s="140"/>
      <c r="FB4" s="175"/>
      <c r="FC4" s="140"/>
      <c r="FD4" s="140"/>
      <c r="FE4" s="140"/>
      <c r="FF4" s="140"/>
      <c r="FG4" s="140"/>
      <c r="FH4" s="140"/>
      <c r="FI4" s="140"/>
      <c r="FJ4" s="140"/>
      <c r="FK4" s="140"/>
      <c r="FL4" s="140"/>
      <c r="FM4" s="140"/>
      <c r="FN4" s="140"/>
      <c r="FO4" s="140"/>
      <c r="FP4" s="140"/>
      <c r="FQ4" s="140"/>
      <c r="FR4" s="140"/>
      <c r="FS4" s="140"/>
      <c r="FT4" s="140"/>
      <c r="FU4" s="140"/>
      <c r="FV4" s="140"/>
      <c r="FW4" s="140"/>
      <c r="FX4" s="140"/>
      <c r="FY4" s="140"/>
      <c r="FZ4" s="140"/>
      <c r="GA4" s="140"/>
      <c r="GB4" s="140"/>
      <c r="GC4" s="140"/>
      <c r="GD4" s="129"/>
      <c r="GE4" s="140"/>
      <c r="GF4" s="140"/>
      <c r="GG4" s="140"/>
      <c r="GH4" s="140"/>
      <c r="GI4" s="140"/>
      <c r="GJ4" s="140"/>
      <c r="GK4" s="140"/>
      <c r="GL4" s="140"/>
      <c r="GM4" s="64"/>
      <c r="GN4" s="64"/>
      <c r="GO4" s="64"/>
      <c r="GP4" s="64"/>
      <c r="GQ4" s="64"/>
      <c r="GR4" s="64"/>
      <c r="GS4" s="64"/>
      <c r="GT4" s="64"/>
      <c r="GU4" s="64"/>
      <c r="GV4" s="64"/>
      <c r="GW4" s="64"/>
      <c r="GX4" s="64"/>
    </row>
    <row r="5" spans="1:206">
      <c r="A5" s="174"/>
      <c r="B5" s="140"/>
      <c r="C5" s="140"/>
      <c r="D5" s="140"/>
      <c r="E5" s="140"/>
      <c r="F5" s="140"/>
      <c r="G5" s="140"/>
      <c r="H5" s="140"/>
      <c r="I5" s="140"/>
      <c r="J5" s="140"/>
      <c r="K5" s="140"/>
      <c r="L5" s="140"/>
      <c r="M5" s="140"/>
      <c r="N5" s="140"/>
      <c r="O5" s="140"/>
      <c r="P5" s="140"/>
      <c r="Q5" s="140"/>
      <c r="R5" s="140"/>
      <c r="S5" s="140"/>
      <c r="T5" s="140"/>
      <c r="U5" s="140"/>
      <c r="V5" s="140"/>
      <c r="W5" s="140"/>
      <c r="X5" s="140"/>
      <c r="Y5" s="140"/>
      <c r="Z5" s="140"/>
      <c r="AA5" s="140"/>
      <c r="AB5" s="140"/>
      <c r="AC5" s="140"/>
      <c r="AD5" s="140"/>
      <c r="AE5" s="140"/>
      <c r="AF5" s="140"/>
      <c r="AG5" s="68"/>
      <c r="AH5" s="140"/>
      <c r="AI5" s="140"/>
      <c r="AJ5" s="140"/>
      <c r="AK5" s="140"/>
      <c r="AL5" s="140"/>
      <c r="AM5" s="140"/>
      <c r="AN5" s="140"/>
      <c r="AO5" s="140"/>
      <c r="AP5" s="140"/>
      <c r="AQ5" s="140"/>
      <c r="AR5" s="140"/>
      <c r="AS5" s="140"/>
      <c r="AT5" s="140"/>
      <c r="AU5" s="140"/>
      <c r="AV5" s="140"/>
      <c r="AW5" s="140"/>
      <c r="AX5" s="140"/>
      <c r="AY5" s="140"/>
      <c r="AZ5" s="140"/>
      <c r="BA5" s="140"/>
      <c r="BB5" s="140"/>
      <c r="BC5" s="140"/>
      <c r="BD5" s="140"/>
      <c r="BE5" s="140"/>
      <c r="BF5" s="140"/>
      <c r="BG5" s="140"/>
      <c r="BH5" s="140"/>
      <c r="BI5" s="140"/>
      <c r="BJ5" s="140"/>
      <c r="BK5" s="129"/>
      <c r="BL5" s="140"/>
      <c r="BM5" s="140"/>
      <c r="BN5" s="140"/>
      <c r="BO5" s="140"/>
      <c r="BP5" s="140"/>
      <c r="BQ5" s="140"/>
      <c r="BR5" s="140"/>
      <c r="BS5" s="140"/>
      <c r="BT5" s="140"/>
      <c r="BU5" s="140"/>
      <c r="BV5" s="140"/>
      <c r="BW5" s="140"/>
      <c r="BX5" s="140"/>
      <c r="BY5" s="140"/>
      <c r="BZ5" s="140"/>
      <c r="CA5" s="140"/>
      <c r="CB5" s="140"/>
      <c r="CC5" s="140"/>
      <c r="CD5" s="140"/>
      <c r="CE5" s="140"/>
      <c r="CF5" s="140"/>
      <c r="CG5" s="140"/>
      <c r="CH5" s="140"/>
      <c r="CI5" s="140"/>
      <c r="CJ5" s="140"/>
      <c r="CK5" s="140"/>
      <c r="CL5" s="140"/>
      <c r="CM5" s="140"/>
      <c r="CN5" s="140"/>
      <c r="CO5" s="140"/>
      <c r="CP5" s="140"/>
      <c r="CQ5" s="140"/>
      <c r="CR5" s="140"/>
      <c r="CS5" s="140"/>
      <c r="CT5" s="140"/>
      <c r="CU5" s="140"/>
      <c r="CV5" s="140"/>
      <c r="CW5" s="140"/>
      <c r="CX5" s="140"/>
      <c r="CY5" s="140"/>
      <c r="CZ5" s="140"/>
      <c r="DA5" s="140"/>
      <c r="DB5" s="140"/>
      <c r="DC5" s="140"/>
      <c r="DD5" s="140"/>
      <c r="DE5" s="140"/>
      <c r="DF5" s="140"/>
      <c r="DG5" s="140"/>
      <c r="DH5" s="140"/>
      <c r="DI5" s="140"/>
      <c r="DJ5" s="140"/>
      <c r="DK5" s="140"/>
      <c r="DL5" s="140"/>
      <c r="DM5" s="140"/>
      <c r="DN5" s="136"/>
      <c r="DO5" s="136"/>
      <c r="DP5" s="136"/>
      <c r="DQ5" s="136"/>
      <c r="DR5" s="140"/>
      <c r="DS5" s="140"/>
      <c r="DT5" s="140"/>
      <c r="DU5" s="140"/>
      <c r="DV5" s="129"/>
      <c r="DW5" s="129"/>
      <c r="DX5" s="129"/>
      <c r="DY5" s="129"/>
      <c r="DZ5" s="140"/>
      <c r="EA5" s="140"/>
      <c r="EB5" s="140"/>
      <c r="EC5" s="140"/>
      <c r="ED5" s="140"/>
      <c r="EE5" s="140"/>
      <c r="EF5" s="140"/>
      <c r="EG5" s="140"/>
      <c r="EH5" s="140"/>
      <c r="EI5" s="140"/>
      <c r="EJ5" s="140"/>
      <c r="EK5" s="140"/>
      <c r="EL5" s="140"/>
      <c r="EM5" s="140"/>
      <c r="EN5" s="140"/>
      <c r="EO5" s="140"/>
      <c r="EP5" s="140"/>
      <c r="EQ5" s="140"/>
      <c r="ER5" s="140"/>
      <c r="ES5" s="175"/>
      <c r="ET5" s="140"/>
      <c r="EU5" s="140"/>
      <c r="EV5" s="175"/>
      <c r="EW5" s="140"/>
      <c r="EX5" s="140"/>
      <c r="EY5" s="175"/>
      <c r="EZ5" s="140"/>
      <c r="FA5" s="140"/>
      <c r="FB5" s="175"/>
      <c r="FC5" s="140"/>
      <c r="FD5" s="140"/>
      <c r="FE5" s="140"/>
      <c r="FF5" s="140"/>
      <c r="FG5" s="140"/>
      <c r="FH5" s="140"/>
      <c r="FI5" s="140"/>
      <c r="FJ5" s="140"/>
      <c r="FK5" s="140"/>
      <c r="FL5" s="140"/>
      <c r="FM5" s="140"/>
      <c r="FN5" s="140"/>
      <c r="FO5" s="140"/>
      <c r="FP5" s="140"/>
      <c r="FQ5" s="140"/>
      <c r="FR5" s="140"/>
      <c r="FS5" s="140"/>
      <c r="FT5" s="140"/>
      <c r="FU5" s="140"/>
      <c r="FV5" s="140"/>
      <c r="FW5" s="140"/>
      <c r="FX5" s="140"/>
      <c r="FY5" s="140"/>
      <c r="FZ5" s="140"/>
      <c r="GA5" s="140"/>
      <c r="GB5" s="140"/>
      <c r="GC5" s="140"/>
      <c r="GD5" s="129"/>
      <c r="GE5" s="140"/>
      <c r="GF5" s="140"/>
      <c r="GG5" s="140"/>
      <c r="GH5" s="140"/>
      <c r="GI5" s="140"/>
      <c r="GJ5" s="140"/>
      <c r="GK5" s="140"/>
      <c r="GL5" s="140"/>
      <c r="GM5" s="64"/>
      <c r="GN5" s="64"/>
      <c r="GO5" s="64"/>
      <c r="GP5" s="64"/>
      <c r="GQ5" s="64"/>
      <c r="GR5" s="64"/>
      <c r="GS5" s="64"/>
      <c r="GT5" s="64"/>
      <c r="GU5" s="64"/>
      <c r="GV5" s="64"/>
      <c r="GW5" s="64"/>
      <c r="GX5" s="64"/>
    </row>
    <row r="6" spans="1:206">
      <c r="A6" s="174"/>
      <c r="B6" s="140"/>
      <c r="C6" s="140"/>
      <c r="D6" s="140"/>
      <c r="E6" s="140"/>
      <c r="F6" s="140"/>
      <c r="G6" s="140"/>
      <c r="H6" s="140"/>
      <c r="I6" s="140"/>
      <c r="J6" s="140"/>
      <c r="K6" s="140"/>
      <c r="L6" s="140"/>
      <c r="M6" s="140"/>
      <c r="N6" s="140"/>
      <c r="O6" s="140"/>
      <c r="P6" s="140"/>
      <c r="Q6" s="140"/>
      <c r="R6" s="140"/>
      <c r="S6" s="140"/>
      <c r="T6" s="140"/>
      <c r="U6" s="140"/>
      <c r="V6" s="140"/>
      <c r="W6" s="140"/>
      <c r="X6" s="140"/>
      <c r="Y6" s="140"/>
      <c r="Z6" s="140"/>
      <c r="AA6" s="140"/>
      <c r="AB6" s="140"/>
      <c r="AC6" s="140"/>
      <c r="AD6" s="140"/>
      <c r="AE6" s="140"/>
      <c r="AF6" s="140"/>
      <c r="AG6" s="68"/>
      <c r="AH6" s="140"/>
      <c r="AI6" s="140"/>
      <c r="AJ6" s="140"/>
      <c r="AK6" s="140"/>
      <c r="AL6" s="140"/>
      <c r="AM6" s="140"/>
      <c r="AN6" s="140"/>
      <c r="AO6" s="140"/>
      <c r="AP6" s="140"/>
      <c r="AQ6" s="140"/>
      <c r="AR6" s="140"/>
      <c r="AS6" s="140"/>
      <c r="AT6" s="140"/>
      <c r="AU6" s="140"/>
      <c r="AV6" s="140"/>
      <c r="AW6" s="140"/>
      <c r="AX6" s="140"/>
      <c r="AY6" s="140"/>
      <c r="AZ6" s="140"/>
      <c r="BA6" s="140"/>
      <c r="BB6" s="140"/>
      <c r="BC6" s="140"/>
      <c r="BD6" s="140"/>
      <c r="BE6" s="140"/>
      <c r="BF6" s="140"/>
      <c r="BG6" s="140"/>
      <c r="BH6" s="140"/>
      <c r="BI6" s="140"/>
      <c r="BJ6" s="140"/>
      <c r="BK6" s="129"/>
      <c r="BL6" s="140"/>
      <c r="BM6" s="140"/>
      <c r="BN6" s="140"/>
      <c r="BO6" s="140"/>
      <c r="BP6" s="140"/>
      <c r="BQ6" s="140"/>
      <c r="BR6" s="140"/>
      <c r="BS6" s="140"/>
      <c r="BT6" s="140"/>
      <c r="BU6" s="140"/>
      <c r="BV6" s="140"/>
      <c r="BW6" s="140"/>
      <c r="BX6" s="140"/>
      <c r="BY6" s="140"/>
      <c r="BZ6" s="140"/>
      <c r="CA6" s="140"/>
      <c r="CB6" s="140"/>
      <c r="CC6" s="140"/>
      <c r="CD6" s="140"/>
      <c r="CE6" s="140"/>
      <c r="CF6" s="140"/>
      <c r="CG6" s="140"/>
      <c r="CH6" s="140"/>
      <c r="CI6" s="140"/>
      <c r="CJ6" s="140"/>
      <c r="CK6" s="140"/>
      <c r="CL6" s="140"/>
      <c r="CM6" s="140"/>
      <c r="CN6" s="140"/>
      <c r="CO6" s="140"/>
      <c r="CP6" s="140"/>
      <c r="CQ6" s="140"/>
      <c r="CR6" s="140"/>
      <c r="CS6" s="140"/>
      <c r="CT6" s="140"/>
      <c r="CU6" s="140"/>
      <c r="CV6" s="140"/>
      <c r="CW6" s="140"/>
      <c r="CX6" s="140"/>
      <c r="CY6" s="140"/>
      <c r="CZ6" s="140"/>
      <c r="DA6" s="140"/>
      <c r="DB6" s="140"/>
      <c r="DC6" s="140"/>
      <c r="DD6" s="140"/>
      <c r="DE6" s="140"/>
      <c r="DF6" s="140"/>
      <c r="DG6" s="140"/>
      <c r="DH6" s="140"/>
      <c r="DI6" s="140"/>
      <c r="DJ6" s="140"/>
      <c r="DK6" s="140"/>
      <c r="DL6" s="140"/>
      <c r="DM6" s="140"/>
      <c r="DN6" s="136"/>
      <c r="DO6" s="136"/>
      <c r="DP6" s="136"/>
      <c r="DQ6" s="136"/>
      <c r="DR6" s="140"/>
      <c r="DS6" s="140"/>
      <c r="DT6" s="140"/>
      <c r="DU6" s="140"/>
      <c r="DV6" s="129"/>
      <c r="DW6" s="129"/>
      <c r="DX6" s="129"/>
      <c r="DY6" s="129"/>
      <c r="DZ6" s="140"/>
      <c r="EA6" s="140"/>
      <c r="EB6" s="140"/>
      <c r="EC6" s="140"/>
      <c r="ED6" s="140"/>
      <c r="EE6" s="140"/>
      <c r="EF6" s="140"/>
      <c r="EG6" s="140"/>
      <c r="EH6" s="140"/>
      <c r="EI6" s="140"/>
      <c r="EJ6" s="140"/>
      <c r="EK6" s="140"/>
      <c r="EL6" s="140"/>
      <c r="EM6" s="140"/>
      <c r="EN6" s="140"/>
      <c r="EO6" s="140"/>
      <c r="EP6" s="140"/>
      <c r="EQ6" s="140"/>
      <c r="ER6" s="140"/>
      <c r="ES6" s="175"/>
      <c r="ET6" s="140"/>
      <c r="EU6" s="140"/>
      <c r="EV6" s="175"/>
      <c r="EW6" s="140"/>
      <c r="EX6" s="140"/>
      <c r="EY6" s="175"/>
      <c r="EZ6" s="140"/>
      <c r="FA6" s="140"/>
      <c r="FB6" s="175"/>
      <c r="FC6" s="140"/>
      <c r="FD6" s="140"/>
      <c r="FE6" s="140"/>
      <c r="FF6" s="140"/>
      <c r="FG6" s="140"/>
      <c r="FH6" s="140"/>
      <c r="FI6" s="140"/>
      <c r="FJ6" s="140"/>
      <c r="FK6" s="140"/>
      <c r="FL6" s="140"/>
      <c r="FM6" s="140"/>
      <c r="FN6" s="140"/>
      <c r="FO6" s="140"/>
      <c r="FP6" s="140"/>
      <c r="FQ6" s="140"/>
      <c r="FR6" s="140"/>
      <c r="FS6" s="140"/>
      <c r="FT6" s="140"/>
      <c r="FU6" s="140"/>
      <c r="FV6" s="140"/>
      <c r="FW6" s="140"/>
      <c r="FX6" s="140"/>
      <c r="FY6" s="140"/>
      <c r="FZ6" s="140"/>
      <c r="GA6" s="140"/>
      <c r="GB6" s="140"/>
      <c r="GC6" s="140"/>
      <c r="GD6" s="129"/>
      <c r="GE6" s="140"/>
      <c r="GF6" s="140"/>
      <c r="GG6" s="140"/>
      <c r="GH6" s="140"/>
      <c r="GI6" s="140"/>
      <c r="GJ6" s="140"/>
      <c r="GK6" s="140"/>
      <c r="GL6" s="140"/>
      <c r="GM6" s="64"/>
      <c r="GN6" s="64"/>
      <c r="GO6" s="64"/>
      <c r="GP6" s="64"/>
      <c r="GQ6" s="64"/>
      <c r="GR6" s="64"/>
      <c r="GS6" s="64"/>
      <c r="GT6" s="64"/>
      <c r="GU6" s="64"/>
      <c r="GV6" s="64"/>
      <c r="GW6" s="64"/>
      <c r="GX6" s="64"/>
    </row>
    <row r="7" spans="1:206">
      <c r="A7" s="174"/>
      <c r="B7" s="140"/>
      <c r="C7" s="140"/>
      <c r="D7" s="140"/>
      <c r="E7" s="140"/>
      <c r="F7" s="140"/>
      <c r="G7" s="140"/>
      <c r="H7" s="140"/>
      <c r="I7" s="140"/>
      <c r="J7" s="140"/>
      <c r="K7" s="140"/>
      <c r="L7" s="140"/>
      <c r="M7" s="140"/>
      <c r="N7" s="140"/>
      <c r="O7" s="140"/>
      <c r="P7" s="140"/>
      <c r="Q7" s="140"/>
      <c r="R7" s="140"/>
      <c r="S7" s="140"/>
      <c r="T7" s="140"/>
      <c r="U7" s="140"/>
      <c r="V7" s="140"/>
      <c r="W7" s="140"/>
      <c r="X7" s="140"/>
      <c r="Y7" s="140"/>
      <c r="Z7" s="140"/>
      <c r="AA7" s="140"/>
      <c r="AB7" s="140"/>
      <c r="AC7" s="140"/>
      <c r="AD7" s="140"/>
      <c r="AE7" s="140"/>
      <c r="AF7" s="140"/>
      <c r="AG7" s="68"/>
      <c r="AH7" s="140"/>
      <c r="AI7" s="140"/>
      <c r="AJ7" s="140"/>
      <c r="AK7" s="140"/>
      <c r="AL7" s="140"/>
      <c r="AM7" s="140"/>
      <c r="AN7" s="140"/>
      <c r="AO7" s="140"/>
      <c r="AP7" s="140"/>
      <c r="AQ7" s="140"/>
      <c r="AR7" s="140"/>
      <c r="AS7" s="140"/>
      <c r="AT7" s="140"/>
      <c r="AU7" s="140"/>
      <c r="AV7" s="140"/>
      <c r="AW7" s="140"/>
      <c r="AX7" s="140"/>
      <c r="AY7" s="140"/>
      <c r="AZ7" s="140"/>
      <c r="BA7" s="140"/>
      <c r="BB7" s="140"/>
      <c r="BC7" s="140"/>
      <c r="BD7" s="140"/>
      <c r="BE7" s="140"/>
      <c r="BF7" s="140"/>
      <c r="BG7" s="140"/>
      <c r="BH7" s="140"/>
      <c r="BI7" s="140"/>
      <c r="BJ7" s="140"/>
      <c r="BK7" s="129"/>
      <c r="BL7" s="140"/>
      <c r="BM7" s="140"/>
      <c r="BN7" s="140"/>
      <c r="BO7" s="140"/>
      <c r="BP7" s="140"/>
      <c r="BQ7" s="140"/>
      <c r="BR7" s="140"/>
      <c r="BS7" s="140"/>
      <c r="BT7" s="140"/>
      <c r="BU7" s="140"/>
      <c r="BV7" s="140"/>
      <c r="BW7" s="140"/>
      <c r="BX7" s="140"/>
      <c r="BY7" s="140"/>
      <c r="BZ7" s="140"/>
      <c r="CA7" s="140"/>
      <c r="CB7" s="140"/>
      <c r="CC7" s="140"/>
      <c r="CD7" s="140"/>
      <c r="CE7" s="140"/>
      <c r="CF7" s="140"/>
      <c r="CG7" s="140"/>
      <c r="CH7" s="140"/>
      <c r="CI7" s="140"/>
      <c r="CJ7" s="140"/>
      <c r="CK7" s="140"/>
      <c r="CL7" s="140"/>
      <c r="CM7" s="140"/>
      <c r="CN7" s="140"/>
      <c r="CO7" s="140"/>
      <c r="CP7" s="140"/>
      <c r="CQ7" s="140"/>
      <c r="CR7" s="140"/>
      <c r="CS7" s="140"/>
      <c r="CT7" s="140"/>
      <c r="CU7" s="140"/>
      <c r="CV7" s="140"/>
      <c r="CW7" s="140"/>
      <c r="CX7" s="140"/>
      <c r="CY7" s="140"/>
      <c r="CZ7" s="140"/>
      <c r="DA7" s="140"/>
      <c r="DB7" s="140"/>
      <c r="DC7" s="140"/>
      <c r="DD7" s="140"/>
      <c r="DE7" s="140"/>
      <c r="DF7" s="140"/>
      <c r="DG7" s="140"/>
      <c r="DH7" s="140"/>
      <c r="DI7" s="140"/>
      <c r="DJ7" s="140"/>
      <c r="DK7" s="140"/>
      <c r="DL7" s="140"/>
      <c r="DM7" s="140"/>
      <c r="DN7" s="136"/>
      <c r="DO7" s="136"/>
      <c r="DP7" s="136"/>
      <c r="DQ7" s="136"/>
      <c r="DR7" s="140"/>
      <c r="DS7" s="140"/>
      <c r="DT7" s="140"/>
      <c r="DU7" s="140"/>
      <c r="DV7" s="129"/>
      <c r="DW7" s="129"/>
      <c r="DX7" s="129"/>
      <c r="DY7" s="129"/>
      <c r="DZ7" s="140"/>
      <c r="EA7" s="140"/>
      <c r="EB7" s="140"/>
      <c r="EC7" s="140"/>
      <c r="ED7" s="140"/>
      <c r="EE7" s="140"/>
      <c r="EF7" s="140"/>
      <c r="EG7" s="140"/>
      <c r="EH7" s="140"/>
      <c r="EI7" s="140"/>
      <c r="EJ7" s="140"/>
      <c r="EK7" s="140"/>
      <c r="EL7" s="140"/>
      <c r="EM7" s="140"/>
      <c r="EN7" s="140"/>
      <c r="EO7" s="140"/>
      <c r="EP7" s="140"/>
      <c r="EQ7" s="140"/>
      <c r="ER7" s="140"/>
      <c r="ES7" s="175"/>
      <c r="ET7" s="140"/>
      <c r="EU7" s="140"/>
      <c r="EV7" s="175"/>
      <c r="EW7" s="140"/>
      <c r="EX7" s="140"/>
      <c r="EY7" s="175"/>
      <c r="EZ7" s="140"/>
      <c r="FA7" s="140"/>
      <c r="FB7" s="175"/>
      <c r="FC7" s="140"/>
      <c r="FD7" s="140"/>
      <c r="FE7" s="140"/>
      <c r="FF7" s="140"/>
      <c r="FG7" s="140"/>
      <c r="FH7" s="140"/>
      <c r="FI7" s="140"/>
      <c r="FJ7" s="140"/>
      <c r="FK7" s="140"/>
      <c r="FL7" s="140"/>
      <c r="FM7" s="140"/>
      <c r="FN7" s="140"/>
      <c r="FO7" s="140"/>
      <c r="FP7" s="140"/>
      <c r="FQ7" s="140"/>
      <c r="FR7" s="140"/>
      <c r="FS7" s="140"/>
      <c r="FT7" s="140"/>
      <c r="FU7" s="140"/>
      <c r="FV7" s="140"/>
      <c r="FW7" s="140"/>
      <c r="FX7" s="140"/>
      <c r="FY7" s="140"/>
      <c r="FZ7" s="140"/>
      <c r="GA7" s="140"/>
      <c r="GB7" s="140"/>
      <c r="GC7" s="140"/>
      <c r="GD7" s="129"/>
      <c r="GE7" s="140"/>
      <c r="GF7" s="140"/>
      <c r="GG7" s="140"/>
      <c r="GH7" s="140"/>
      <c r="GI7" s="140"/>
      <c r="GJ7" s="140"/>
      <c r="GK7" s="140"/>
      <c r="GL7" s="140"/>
      <c r="GM7" s="64"/>
      <c r="GN7" s="64"/>
      <c r="GO7" s="64"/>
      <c r="GP7" s="64"/>
      <c r="GQ7" s="64"/>
      <c r="GR7" s="64"/>
      <c r="GS7" s="64"/>
      <c r="GT7" s="64"/>
      <c r="GU7" s="64"/>
      <c r="GV7" s="64"/>
      <c r="GW7" s="64"/>
      <c r="GX7" s="64"/>
    </row>
    <row r="8" spans="1:206">
      <c r="A8" s="174"/>
      <c r="B8" s="140"/>
      <c r="C8" s="140"/>
      <c r="D8" s="140"/>
      <c r="E8" s="140"/>
      <c r="F8" s="140"/>
      <c r="G8" s="140"/>
      <c r="H8" s="140"/>
      <c r="I8" s="140"/>
      <c r="J8" s="140"/>
      <c r="K8" s="140"/>
      <c r="L8" s="140"/>
      <c r="M8" s="140"/>
      <c r="N8" s="140"/>
      <c r="O8" s="140"/>
      <c r="P8" s="140"/>
      <c r="Q8" s="140"/>
      <c r="R8" s="140"/>
      <c r="S8" s="140"/>
      <c r="T8" s="140"/>
      <c r="U8" s="140"/>
      <c r="V8" s="140"/>
      <c r="W8" s="140"/>
      <c r="X8" s="140"/>
      <c r="Y8" s="140"/>
      <c r="Z8" s="140"/>
      <c r="AA8" s="140"/>
      <c r="AB8" s="140"/>
      <c r="AC8" s="140"/>
      <c r="AD8" s="140"/>
      <c r="AE8" s="140"/>
      <c r="AF8" s="140"/>
      <c r="AG8" s="68"/>
      <c r="AH8" s="140"/>
      <c r="AI8" s="140"/>
      <c r="AJ8" s="140"/>
      <c r="AK8" s="140"/>
      <c r="AL8" s="140"/>
      <c r="AM8" s="140"/>
      <c r="AN8" s="140"/>
      <c r="AO8" s="140"/>
      <c r="AP8" s="140"/>
      <c r="AQ8" s="140"/>
      <c r="AR8" s="140"/>
      <c r="AS8" s="140"/>
      <c r="AT8" s="140"/>
      <c r="AU8" s="140"/>
      <c r="AV8" s="140"/>
      <c r="AW8" s="140"/>
      <c r="AX8" s="140"/>
      <c r="AY8" s="140"/>
      <c r="AZ8" s="140"/>
      <c r="BA8" s="140"/>
      <c r="BB8" s="140"/>
      <c r="BC8" s="140"/>
      <c r="BD8" s="140"/>
      <c r="BE8" s="140"/>
      <c r="BF8" s="140"/>
      <c r="BG8" s="140"/>
      <c r="BH8" s="140"/>
      <c r="BI8" s="140"/>
      <c r="BJ8" s="140"/>
      <c r="BK8" s="129"/>
      <c r="BL8" s="140"/>
      <c r="BM8" s="140"/>
      <c r="BN8" s="140"/>
      <c r="BO8" s="140"/>
      <c r="BP8" s="140"/>
      <c r="BQ8" s="140"/>
      <c r="BR8" s="140"/>
      <c r="BS8" s="140"/>
      <c r="BT8" s="140"/>
      <c r="BU8" s="140"/>
      <c r="BV8" s="140"/>
      <c r="BW8" s="140"/>
      <c r="BX8" s="140"/>
      <c r="BY8" s="140"/>
      <c r="BZ8" s="140"/>
      <c r="CA8" s="140"/>
      <c r="CB8" s="140"/>
      <c r="CC8" s="140"/>
      <c r="CD8" s="140"/>
      <c r="CE8" s="140"/>
      <c r="CF8" s="140"/>
      <c r="CG8" s="140"/>
      <c r="CH8" s="140"/>
      <c r="CI8" s="140"/>
      <c r="CJ8" s="140"/>
      <c r="CK8" s="140"/>
      <c r="CL8" s="140"/>
      <c r="CM8" s="140"/>
      <c r="CN8" s="140"/>
      <c r="CO8" s="140"/>
      <c r="CP8" s="140"/>
      <c r="CQ8" s="140"/>
      <c r="CR8" s="140"/>
      <c r="CS8" s="140"/>
      <c r="CT8" s="140"/>
      <c r="CU8" s="140"/>
      <c r="CV8" s="140"/>
      <c r="CW8" s="140"/>
      <c r="CX8" s="140"/>
      <c r="CY8" s="140"/>
      <c r="CZ8" s="140"/>
      <c r="DA8" s="140"/>
      <c r="DB8" s="140"/>
      <c r="DC8" s="140"/>
      <c r="DD8" s="140"/>
      <c r="DE8" s="140"/>
      <c r="DF8" s="140"/>
      <c r="DG8" s="140"/>
      <c r="DH8" s="140"/>
      <c r="DI8" s="140"/>
      <c r="DJ8" s="140"/>
      <c r="DK8" s="140"/>
      <c r="DL8" s="140"/>
      <c r="DM8" s="140"/>
      <c r="DN8" s="136"/>
      <c r="DO8" s="136"/>
      <c r="DP8" s="136"/>
      <c r="DQ8" s="136"/>
      <c r="DR8" s="140"/>
      <c r="DS8" s="140"/>
      <c r="DT8" s="140"/>
      <c r="DU8" s="140"/>
      <c r="DV8" s="129"/>
      <c r="DW8" s="129"/>
      <c r="DX8" s="129"/>
      <c r="DY8" s="129"/>
      <c r="DZ8" s="140"/>
      <c r="EA8" s="140"/>
      <c r="EB8" s="140"/>
      <c r="EC8" s="140"/>
      <c r="ED8" s="140"/>
      <c r="EE8" s="140"/>
      <c r="EF8" s="140"/>
      <c r="EG8" s="140"/>
      <c r="EH8" s="140"/>
      <c r="EI8" s="140"/>
      <c r="EJ8" s="140"/>
      <c r="EK8" s="140"/>
      <c r="EL8" s="140"/>
      <c r="EM8" s="140"/>
      <c r="EN8" s="140"/>
      <c r="EO8" s="140"/>
      <c r="EP8" s="140"/>
      <c r="EQ8" s="140"/>
      <c r="ER8" s="140"/>
      <c r="ES8" s="175"/>
      <c r="ET8" s="140"/>
      <c r="EU8" s="140"/>
      <c r="EV8" s="175"/>
      <c r="EW8" s="140"/>
      <c r="EX8" s="140"/>
      <c r="EY8" s="175"/>
      <c r="EZ8" s="140"/>
      <c r="FA8" s="140"/>
      <c r="FB8" s="175"/>
      <c r="FC8" s="140"/>
      <c r="FD8" s="140"/>
      <c r="FE8" s="140"/>
      <c r="FF8" s="140"/>
      <c r="FG8" s="140"/>
      <c r="FH8" s="140"/>
      <c r="FI8" s="140"/>
      <c r="FJ8" s="140"/>
      <c r="FK8" s="140"/>
      <c r="FL8" s="140"/>
      <c r="FM8" s="140"/>
      <c r="FN8" s="140"/>
      <c r="FO8" s="140"/>
      <c r="FP8" s="140"/>
      <c r="FQ8" s="140"/>
      <c r="FR8" s="140"/>
      <c r="FS8" s="140"/>
      <c r="FT8" s="140"/>
      <c r="FU8" s="140"/>
      <c r="FV8" s="140"/>
      <c r="FW8" s="140"/>
      <c r="FX8" s="140"/>
      <c r="FY8" s="140"/>
      <c r="FZ8" s="140"/>
      <c r="GA8" s="140"/>
      <c r="GB8" s="140"/>
      <c r="GC8" s="140"/>
      <c r="GD8" s="129"/>
      <c r="GE8" s="140"/>
      <c r="GF8" s="140"/>
      <c r="GG8" s="140"/>
      <c r="GH8" s="140"/>
      <c r="GI8" s="140"/>
      <c r="GJ8" s="140"/>
      <c r="GK8" s="140"/>
      <c r="GL8" s="140"/>
      <c r="GM8" s="64"/>
      <c r="GN8" s="64"/>
      <c r="GO8" s="64"/>
      <c r="GP8" s="64"/>
      <c r="GQ8" s="64"/>
      <c r="GR8" s="64"/>
      <c r="GS8" s="64"/>
      <c r="GT8" s="64"/>
      <c r="GU8" s="64"/>
      <c r="GV8" s="64"/>
      <c r="GW8" s="64"/>
      <c r="GX8" s="64"/>
    </row>
    <row r="9" spans="1:206">
      <c r="A9" s="174"/>
      <c r="B9" s="140"/>
      <c r="C9" s="140"/>
      <c r="D9" s="140"/>
      <c r="E9" s="140"/>
      <c r="F9" s="140"/>
      <c r="G9" s="140"/>
      <c r="H9" s="140"/>
      <c r="I9" s="140"/>
      <c r="J9" s="140"/>
      <c r="K9" s="140"/>
      <c r="L9" s="140"/>
      <c r="M9" s="140"/>
      <c r="N9" s="140"/>
      <c r="O9" s="140"/>
      <c r="P9" s="140"/>
      <c r="Q9" s="140"/>
      <c r="R9" s="140"/>
      <c r="S9" s="140"/>
      <c r="T9" s="140"/>
      <c r="U9" s="140"/>
      <c r="V9" s="140"/>
      <c r="W9" s="140"/>
      <c r="X9" s="140"/>
      <c r="Y9" s="140"/>
      <c r="Z9" s="140"/>
      <c r="AA9" s="140"/>
      <c r="AB9" s="140"/>
      <c r="AC9" s="140"/>
      <c r="AD9" s="140"/>
      <c r="AE9" s="140"/>
      <c r="AF9" s="140"/>
      <c r="AG9" s="68"/>
      <c r="AH9" s="140"/>
      <c r="AI9" s="140"/>
      <c r="AJ9" s="140"/>
      <c r="AK9" s="140"/>
      <c r="AL9" s="140"/>
      <c r="AM9" s="140"/>
      <c r="AN9" s="140"/>
      <c r="AO9" s="140"/>
      <c r="AP9" s="140"/>
      <c r="AQ9" s="140"/>
      <c r="AR9" s="140"/>
      <c r="AS9" s="140"/>
      <c r="AT9" s="140"/>
      <c r="AU9" s="140"/>
      <c r="AV9" s="140"/>
      <c r="AW9" s="140"/>
      <c r="AX9" s="140"/>
      <c r="AY9" s="140"/>
      <c r="AZ9" s="140"/>
      <c r="BA9" s="140"/>
      <c r="BB9" s="140"/>
      <c r="BC9" s="140"/>
      <c r="BD9" s="140"/>
      <c r="BE9" s="140"/>
      <c r="BF9" s="140"/>
      <c r="BG9" s="140"/>
      <c r="BH9" s="140"/>
      <c r="BI9" s="140"/>
      <c r="BJ9" s="140"/>
      <c r="BK9" s="129"/>
      <c r="BL9" s="140"/>
      <c r="BM9" s="140"/>
      <c r="BN9" s="140"/>
      <c r="BO9" s="140"/>
      <c r="BP9" s="140"/>
      <c r="BQ9" s="140"/>
      <c r="BR9" s="140"/>
      <c r="BS9" s="140"/>
      <c r="BT9" s="140"/>
      <c r="BU9" s="140"/>
      <c r="BV9" s="140"/>
      <c r="BW9" s="140"/>
      <c r="BX9" s="140"/>
      <c r="BY9" s="140"/>
      <c r="BZ9" s="140"/>
      <c r="CA9" s="140"/>
      <c r="CB9" s="140"/>
      <c r="CC9" s="140"/>
      <c r="CD9" s="140"/>
      <c r="CE9" s="140"/>
      <c r="CF9" s="140"/>
      <c r="CG9" s="140"/>
      <c r="CH9" s="140"/>
      <c r="CI9" s="140"/>
      <c r="CJ9" s="140"/>
      <c r="CK9" s="140"/>
      <c r="CL9" s="140"/>
      <c r="CM9" s="140"/>
      <c r="CN9" s="140"/>
      <c r="CO9" s="140"/>
      <c r="CP9" s="140"/>
      <c r="CQ9" s="140"/>
      <c r="CR9" s="140"/>
      <c r="CS9" s="140"/>
      <c r="CT9" s="140"/>
      <c r="CU9" s="140"/>
      <c r="CV9" s="140"/>
      <c r="CW9" s="140"/>
      <c r="CX9" s="140"/>
      <c r="CY9" s="140"/>
      <c r="CZ9" s="140"/>
      <c r="DA9" s="140"/>
      <c r="DB9" s="140"/>
      <c r="DC9" s="140"/>
      <c r="DD9" s="140"/>
      <c r="DE9" s="140"/>
      <c r="DF9" s="140"/>
      <c r="DG9" s="140"/>
      <c r="DH9" s="140"/>
      <c r="DI9" s="140"/>
      <c r="DJ9" s="140"/>
      <c r="DK9" s="140"/>
      <c r="DL9" s="140"/>
      <c r="DM9" s="140"/>
      <c r="DN9" s="136"/>
      <c r="DO9" s="136"/>
      <c r="DP9" s="136"/>
      <c r="DQ9" s="136"/>
      <c r="DR9" s="140"/>
      <c r="DS9" s="140"/>
      <c r="DT9" s="140"/>
      <c r="DU9" s="140"/>
      <c r="DV9" s="129"/>
      <c r="DW9" s="129"/>
      <c r="DX9" s="129"/>
      <c r="DY9" s="129"/>
      <c r="DZ9" s="140"/>
      <c r="EA9" s="140"/>
      <c r="EB9" s="140"/>
      <c r="EC9" s="140"/>
      <c r="ED9" s="140"/>
      <c r="EE9" s="140"/>
      <c r="EF9" s="140"/>
      <c r="EG9" s="140"/>
      <c r="EH9" s="140"/>
      <c r="EI9" s="140"/>
      <c r="EJ9" s="140"/>
      <c r="EK9" s="140"/>
      <c r="EL9" s="140"/>
      <c r="EM9" s="140"/>
      <c r="EN9" s="140"/>
      <c r="EO9" s="140"/>
      <c r="EP9" s="140"/>
      <c r="EQ9" s="140"/>
      <c r="ER9" s="140"/>
      <c r="ES9" s="175"/>
      <c r="ET9" s="140"/>
      <c r="EU9" s="140"/>
      <c r="EV9" s="175"/>
      <c r="EW9" s="140"/>
      <c r="EX9" s="140"/>
      <c r="EY9" s="175"/>
      <c r="EZ9" s="140"/>
      <c r="FA9" s="140"/>
      <c r="FB9" s="175"/>
      <c r="FC9" s="140"/>
      <c r="FD9" s="140"/>
      <c r="FE9" s="140"/>
      <c r="FF9" s="140"/>
      <c r="FG9" s="140"/>
      <c r="FH9" s="140"/>
      <c r="FI9" s="140"/>
      <c r="FJ9" s="140"/>
      <c r="FK9" s="140"/>
      <c r="FL9" s="140"/>
      <c r="FM9" s="140"/>
      <c r="FN9" s="140"/>
      <c r="FO9" s="140"/>
      <c r="FP9" s="140"/>
      <c r="FQ9" s="140"/>
      <c r="FR9" s="140"/>
      <c r="FS9" s="140"/>
      <c r="FT9" s="140"/>
      <c r="FU9" s="140"/>
      <c r="FV9" s="140"/>
      <c r="FW9" s="140"/>
      <c r="FX9" s="140"/>
      <c r="FY9" s="140"/>
      <c r="FZ9" s="140"/>
      <c r="GA9" s="140"/>
      <c r="GB9" s="140"/>
      <c r="GC9" s="140"/>
      <c r="GD9" s="129"/>
      <c r="GE9" s="140"/>
      <c r="GF9" s="140"/>
      <c r="GG9" s="140"/>
      <c r="GH9" s="140"/>
      <c r="GI9" s="140"/>
      <c r="GJ9" s="140"/>
      <c r="GK9" s="140"/>
      <c r="GL9" s="140"/>
      <c r="GM9" s="64"/>
      <c r="GN9" s="64"/>
      <c r="GO9" s="64"/>
      <c r="GP9" s="64"/>
      <c r="GQ9" s="64"/>
      <c r="GR9" s="64"/>
      <c r="GS9" s="64"/>
      <c r="GT9" s="64"/>
      <c r="GU9" s="64"/>
      <c r="GV9" s="64"/>
      <c r="GW9" s="64"/>
      <c r="GX9" s="64"/>
    </row>
    <row r="10" spans="1:206">
      <c r="A10" s="174"/>
      <c r="B10" s="140"/>
      <c r="C10" s="140"/>
      <c r="D10" s="140"/>
      <c r="E10" s="140"/>
      <c r="F10" s="140"/>
      <c r="G10" s="140"/>
      <c r="H10" s="140"/>
      <c r="I10" s="140"/>
      <c r="J10" s="140"/>
      <c r="K10" s="140"/>
      <c r="L10" s="140"/>
      <c r="M10" s="140"/>
      <c r="N10" s="140"/>
      <c r="O10" s="140"/>
      <c r="P10" s="140"/>
      <c r="Q10" s="140"/>
      <c r="R10" s="140"/>
      <c r="S10" s="140"/>
      <c r="T10" s="140"/>
      <c r="U10" s="140"/>
      <c r="V10" s="140"/>
      <c r="W10" s="140"/>
      <c r="X10" s="140"/>
      <c r="Y10" s="140"/>
      <c r="Z10" s="140"/>
      <c r="AA10" s="140"/>
      <c r="AB10" s="140"/>
      <c r="AC10" s="140"/>
      <c r="AD10" s="140"/>
      <c r="AE10" s="140"/>
      <c r="AF10" s="140"/>
      <c r="AG10" s="68"/>
      <c r="AH10" s="140"/>
      <c r="AI10" s="140"/>
      <c r="AJ10" s="140"/>
      <c r="AK10" s="140"/>
      <c r="AL10" s="140"/>
      <c r="AM10" s="140"/>
      <c r="AN10" s="140"/>
      <c r="AO10" s="140"/>
      <c r="AP10" s="140"/>
      <c r="AQ10" s="140"/>
      <c r="AR10" s="140"/>
      <c r="AS10" s="140"/>
      <c r="AT10" s="140"/>
      <c r="AU10" s="140"/>
      <c r="AV10" s="140"/>
      <c r="AW10" s="140"/>
      <c r="AX10" s="140"/>
      <c r="AY10" s="140"/>
      <c r="AZ10" s="140"/>
      <c r="BA10" s="140"/>
      <c r="BB10" s="140"/>
      <c r="BC10" s="140"/>
      <c r="BD10" s="140"/>
      <c r="BE10" s="140"/>
      <c r="BF10" s="140"/>
      <c r="BG10" s="140"/>
      <c r="BH10" s="140"/>
      <c r="BI10" s="140"/>
      <c r="BJ10" s="140"/>
      <c r="BK10" s="129"/>
      <c r="BL10" s="140"/>
      <c r="BM10" s="140"/>
      <c r="BN10" s="140"/>
      <c r="BO10" s="140"/>
      <c r="BP10" s="140"/>
      <c r="BQ10" s="140"/>
      <c r="BR10" s="140"/>
      <c r="BS10" s="140"/>
      <c r="BT10" s="140"/>
      <c r="BU10" s="140"/>
      <c r="BV10" s="140"/>
      <c r="BW10" s="140"/>
      <c r="BX10" s="140"/>
      <c r="BY10" s="140"/>
      <c r="BZ10" s="140"/>
      <c r="CA10" s="140"/>
      <c r="CB10" s="140"/>
      <c r="CC10" s="140"/>
      <c r="CD10" s="140"/>
      <c r="CE10" s="140"/>
      <c r="CF10" s="140"/>
      <c r="CG10" s="140"/>
      <c r="CH10" s="140"/>
      <c r="CI10" s="140"/>
      <c r="CJ10" s="140"/>
      <c r="CK10" s="140"/>
      <c r="CL10" s="140"/>
      <c r="CM10" s="140"/>
      <c r="CN10" s="140"/>
      <c r="CO10" s="140"/>
      <c r="CP10" s="140"/>
      <c r="CQ10" s="140"/>
      <c r="CR10" s="140"/>
      <c r="CS10" s="140"/>
      <c r="CT10" s="140"/>
      <c r="CU10" s="140"/>
      <c r="CV10" s="140"/>
      <c r="CW10" s="140"/>
      <c r="CX10" s="140"/>
      <c r="CY10" s="140"/>
      <c r="CZ10" s="140"/>
      <c r="DA10" s="140"/>
      <c r="DB10" s="140"/>
      <c r="DC10" s="140"/>
      <c r="DD10" s="140"/>
      <c r="DE10" s="140"/>
      <c r="DF10" s="140"/>
      <c r="DG10" s="140"/>
      <c r="DH10" s="140"/>
      <c r="DI10" s="140"/>
      <c r="DJ10" s="140"/>
      <c r="DK10" s="140"/>
      <c r="DL10" s="140"/>
      <c r="DM10" s="140"/>
      <c r="DN10" s="136"/>
      <c r="DO10" s="136"/>
      <c r="DP10" s="136"/>
      <c r="DQ10" s="136"/>
      <c r="DR10" s="140"/>
      <c r="DS10" s="140"/>
      <c r="DT10" s="140"/>
      <c r="DU10" s="140"/>
      <c r="DV10" s="129"/>
      <c r="DW10" s="129"/>
      <c r="DX10" s="129"/>
      <c r="DY10" s="129"/>
      <c r="DZ10" s="140"/>
      <c r="EA10" s="140"/>
      <c r="EB10" s="140"/>
      <c r="EC10" s="140"/>
      <c r="ED10" s="140"/>
      <c r="EE10" s="140"/>
      <c r="EF10" s="140"/>
      <c r="EG10" s="140"/>
      <c r="EH10" s="140"/>
      <c r="EI10" s="140"/>
      <c r="EJ10" s="140"/>
      <c r="EK10" s="140"/>
      <c r="EL10" s="140"/>
      <c r="EM10" s="140"/>
      <c r="EN10" s="140"/>
      <c r="EO10" s="140"/>
      <c r="EP10" s="140"/>
      <c r="EQ10" s="140"/>
      <c r="ER10" s="140"/>
      <c r="ES10" s="175"/>
      <c r="ET10" s="140"/>
      <c r="EU10" s="140"/>
      <c r="EV10" s="175"/>
      <c r="EW10" s="140"/>
      <c r="EX10" s="140"/>
      <c r="EY10" s="175"/>
      <c r="EZ10" s="140"/>
      <c r="FA10" s="140"/>
      <c r="FB10" s="175"/>
      <c r="FC10" s="140"/>
      <c r="FD10" s="140"/>
      <c r="FE10" s="140"/>
      <c r="FF10" s="140"/>
      <c r="FG10" s="140"/>
      <c r="FH10" s="140"/>
      <c r="FI10" s="140"/>
      <c r="FJ10" s="140"/>
      <c r="FK10" s="140"/>
      <c r="FL10" s="140"/>
      <c r="FM10" s="140"/>
      <c r="FN10" s="140"/>
      <c r="FO10" s="140"/>
      <c r="FP10" s="140"/>
      <c r="FQ10" s="140"/>
      <c r="FR10" s="140"/>
      <c r="FS10" s="140"/>
      <c r="FT10" s="140"/>
      <c r="FU10" s="140"/>
      <c r="FV10" s="140"/>
      <c r="FW10" s="140"/>
      <c r="FX10" s="140"/>
      <c r="FY10" s="140"/>
      <c r="FZ10" s="140"/>
      <c r="GA10" s="140"/>
      <c r="GB10" s="140"/>
      <c r="GC10" s="140"/>
      <c r="GD10" s="129"/>
      <c r="GE10" s="140"/>
      <c r="GF10" s="140"/>
      <c r="GG10" s="140"/>
      <c r="GH10" s="140"/>
      <c r="GI10" s="140"/>
      <c r="GJ10" s="140"/>
      <c r="GK10" s="140"/>
      <c r="GL10" s="140"/>
      <c r="GM10" s="64"/>
      <c r="GN10" s="64"/>
      <c r="GO10" s="64"/>
      <c r="GP10" s="64"/>
      <c r="GQ10" s="64"/>
      <c r="GR10" s="64"/>
      <c r="GS10" s="64"/>
      <c r="GT10" s="64"/>
      <c r="GU10" s="64"/>
      <c r="GV10" s="64"/>
      <c r="GW10" s="64"/>
      <c r="GX10" s="64"/>
    </row>
    <row r="11" spans="1:206">
      <c r="A11" s="174"/>
      <c r="B11" s="140"/>
      <c r="C11" s="140"/>
      <c r="D11" s="140"/>
      <c r="E11" s="140"/>
      <c r="F11" s="140"/>
      <c r="G11" s="140"/>
      <c r="H11" s="140"/>
      <c r="I11" s="140"/>
      <c r="J11" s="140"/>
      <c r="K11" s="140"/>
      <c r="L11" s="140"/>
      <c r="M11" s="140"/>
      <c r="N11" s="140"/>
      <c r="O11" s="140"/>
      <c r="P11" s="140"/>
      <c r="Q11" s="140"/>
      <c r="R11" s="140"/>
      <c r="S11" s="140"/>
      <c r="T11" s="140"/>
      <c r="U11" s="140"/>
      <c r="V11" s="140"/>
      <c r="W11" s="140"/>
      <c r="X11" s="140"/>
      <c r="Y11" s="140"/>
      <c r="Z11" s="140"/>
      <c r="AA11" s="140"/>
      <c r="AB11" s="140"/>
      <c r="AC11" s="140"/>
      <c r="AD11" s="140"/>
      <c r="AE11" s="140"/>
      <c r="AF11" s="140"/>
      <c r="AG11" s="68"/>
      <c r="AH11" s="140"/>
      <c r="AI11" s="140"/>
      <c r="AJ11" s="140"/>
      <c r="AK11" s="140"/>
      <c r="AL11" s="140"/>
      <c r="AM11" s="140"/>
      <c r="AN11" s="140"/>
      <c r="AO11" s="140"/>
      <c r="AP11" s="140"/>
      <c r="AQ11" s="140"/>
      <c r="AR11" s="140"/>
      <c r="AS11" s="140"/>
      <c r="AT11" s="140"/>
      <c r="AU11" s="140"/>
      <c r="AV11" s="140"/>
      <c r="AW11" s="140"/>
      <c r="AX11" s="140"/>
      <c r="AY11" s="140"/>
      <c r="AZ11" s="140"/>
      <c r="BA11" s="140"/>
      <c r="BB11" s="140"/>
      <c r="BC11" s="140"/>
      <c r="BD11" s="140"/>
      <c r="BE11" s="140"/>
      <c r="BF11" s="140"/>
      <c r="BG11" s="140"/>
      <c r="BH11" s="140"/>
      <c r="BI11" s="140"/>
      <c r="BJ11" s="140"/>
      <c r="BK11" s="129"/>
      <c r="BL11" s="140"/>
      <c r="BM11" s="140"/>
      <c r="BN11" s="140"/>
      <c r="BO11" s="140"/>
      <c r="BP11" s="140"/>
      <c r="BQ11" s="140"/>
      <c r="BR11" s="140"/>
      <c r="BS11" s="140"/>
      <c r="BT11" s="140"/>
      <c r="BU11" s="140"/>
      <c r="BV11" s="140"/>
      <c r="BW11" s="140"/>
      <c r="BX11" s="140"/>
      <c r="BY11" s="140"/>
      <c r="BZ11" s="140"/>
      <c r="CA11" s="140"/>
      <c r="CB11" s="140"/>
      <c r="CC11" s="140"/>
      <c r="CD11" s="140"/>
      <c r="CE11" s="140"/>
      <c r="CF11" s="140"/>
      <c r="CG11" s="140"/>
      <c r="CH11" s="140"/>
      <c r="CI11" s="140"/>
      <c r="CJ11" s="140"/>
      <c r="CK11" s="140"/>
      <c r="CL11" s="140"/>
      <c r="CM11" s="140"/>
      <c r="CN11" s="140"/>
      <c r="CO11" s="140"/>
      <c r="CP11" s="140"/>
      <c r="CQ11" s="140"/>
      <c r="CR11" s="140"/>
      <c r="CS11" s="140"/>
      <c r="CT11" s="140"/>
      <c r="CU11" s="140"/>
      <c r="CV11" s="140"/>
      <c r="CW11" s="140"/>
      <c r="CX11" s="140"/>
      <c r="CY11" s="140"/>
      <c r="CZ11" s="140"/>
      <c r="DA11" s="140"/>
      <c r="DB11" s="140"/>
      <c r="DC11" s="140"/>
      <c r="DD11" s="140"/>
      <c r="DE11" s="140"/>
      <c r="DF11" s="140"/>
      <c r="DG11" s="140"/>
      <c r="DH11" s="140"/>
      <c r="DI11" s="140"/>
      <c r="DJ11" s="140"/>
      <c r="DK11" s="140"/>
      <c r="DL11" s="140"/>
      <c r="DM11" s="140"/>
      <c r="DN11" s="136"/>
      <c r="DO11" s="136"/>
      <c r="DP11" s="136"/>
      <c r="DQ11" s="136"/>
      <c r="DR11" s="140"/>
      <c r="DS11" s="140"/>
      <c r="DT11" s="140"/>
      <c r="DU11" s="140"/>
      <c r="DV11" s="129"/>
      <c r="DW11" s="129"/>
      <c r="DX11" s="129"/>
      <c r="DY11" s="129"/>
      <c r="DZ11" s="140"/>
      <c r="EA11" s="140"/>
      <c r="EB11" s="140"/>
      <c r="EC11" s="140"/>
      <c r="ED11" s="140"/>
      <c r="EE11" s="140"/>
      <c r="EF11" s="140"/>
      <c r="EG11" s="140"/>
      <c r="EH11" s="140"/>
      <c r="EI11" s="140"/>
      <c r="EJ11" s="140"/>
      <c r="EK11" s="140"/>
      <c r="EL11" s="140"/>
      <c r="EM11" s="140"/>
      <c r="EN11" s="140"/>
      <c r="EO11" s="140"/>
      <c r="EP11" s="140"/>
      <c r="EQ11" s="140"/>
      <c r="ER11" s="140"/>
      <c r="ES11" s="175"/>
      <c r="ET11" s="140"/>
      <c r="EU11" s="140"/>
      <c r="EV11" s="175"/>
      <c r="EW11" s="140"/>
      <c r="EX11" s="140"/>
      <c r="EY11" s="175"/>
      <c r="EZ11" s="140"/>
      <c r="FA11" s="140"/>
      <c r="FB11" s="175"/>
      <c r="FC11" s="140"/>
      <c r="FD11" s="140"/>
      <c r="FE11" s="140"/>
      <c r="FF11" s="140"/>
      <c r="FG11" s="140"/>
      <c r="FH11" s="140"/>
      <c r="FI11" s="140"/>
      <c r="FJ11" s="140"/>
      <c r="FK11" s="140"/>
      <c r="FL11" s="140"/>
      <c r="FM11" s="140"/>
      <c r="FN11" s="140"/>
      <c r="FO11" s="140"/>
      <c r="FP11" s="140"/>
      <c r="FQ11" s="140"/>
      <c r="FR11" s="140"/>
      <c r="FS11" s="140"/>
      <c r="FT11" s="140"/>
      <c r="FU11" s="140"/>
      <c r="FV11" s="140"/>
      <c r="FW11" s="140"/>
      <c r="FX11" s="140"/>
      <c r="FY11" s="140"/>
      <c r="FZ11" s="140"/>
      <c r="GA11" s="140"/>
      <c r="GB11" s="140"/>
      <c r="GC11" s="140"/>
      <c r="GD11" s="129"/>
      <c r="GE11" s="140"/>
      <c r="GF11" s="140"/>
      <c r="GG11" s="140"/>
      <c r="GH11" s="140"/>
      <c r="GI11" s="140"/>
      <c r="GJ11" s="140"/>
      <c r="GK11" s="140"/>
      <c r="GL11" s="140"/>
      <c r="GM11" s="64"/>
      <c r="GN11" s="64"/>
      <c r="GO11" s="64"/>
      <c r="GP11" s="64"/>
      <c r="GQ11" s="64"/>
      <c r="GR11" s="64"/>
      <c r="GS11" s="64"/>
      <c r="GT11" s="64"/>
      <c r="GU11" s="64"/>
      <c r="GV11" s="64"/>
      <c r="GW11" s="64"/>
      <c r="GX11" s="64"/>
    </row>
    <row r="12" spans="1:206">
      <c r="A12" s="174"/>
      <c r="B12" s="140"/>
      <c r="C12" s="140"/>
      <c r="D12" s="140"/>
      <c r="E12" s="140"/>
      <c r="F12" s="140"/>
      <c r="G12" s="140"/>
      <c r="H12" s="140"/>
      <c r="I12" s="140"/>
      <c r="J12" s="140"/>
      <c r="K12" s="140"/>
      <c r="L12" s="140"/>
      <c r="M12" s="140"/>
      <c r="N12" s="140"/>
      <c r="O12" s="140"/>
      <c r="P12" s="140"/>
      <c r="Q12" s="140"/>
      <c r="R12" s="140"/>
      <c r="S12" s="140"/>
      <c r="T12" s="140"/>
      <c r="U12" s="140"/>
      <c r="V12" s="140"/>
      <c r="W12" s="140"/>
      <c r="X12" s="140"/>
      <c r="Y12" s="140"/>
      <c r="Z12" s="140"/>
      <c r="AA12" s="140"/>
      <c r="AB12" s="140"/>
      <c r="AC12" s="140"/>
      <c r="AD12" s="140"/>
      <c r="AE12" s="140"/>
      <c r="AF12" s="140"/>
      <c r="AG12" s="68"/>
      <c r="AH12" s="140"/>
      <c r="AI12" s="140"/>
      <c r="AJ12" s="140"/>
      <c r="AK12" s="140"/>
      <c r="AL12" s="140"/>
      <c r="AM12" s="140"/>
      <c r="AN12" s="140"/>
      <c r="AO12" s="140"/>
      <c r="AP12" s="140"/>
      <c r="AQ12" s="140"/>
      <c r="AR12" s="140"/>
      <c r="AS12" s="140"/>
      <c r="AT12" s="140"/>
      <c r="AU12" s="140"/>
      <c r="AV12" s="140"/>
      <c r="AW12" s="140"/>
      <c r="AX12" s="140"/>
      <c r="AY12" s="140"/>
      <c r="AZ12" s="140"/>
      <c r="BA12" s="140"/>
      <c r="BB12" s="140"/>
      <c r="BC12" s="140"/>
      <c r="BD12" s="140"/>
      <c r="BE12" s="140"/>
      <c r="BF12" s="140"/>
      <c r="BG12" s="140"/>
      <c r="BH12" s="140"/>
      <c r="BI12" s="140"/>
      <c r="BJ12" s="140"/>
      <c r="BK12" s="129"/>
      <c r="BL12" s="140"/>
      <c r="BM12" s="140"/>
      <c r="BN12" s="140"/>
      <c r="BO12" s="140"/>
      <c r="BP12" s="140"/>
      <c r="BQ12" s="140"/>
      <c r="BR12" s="140"/>
      <c r="BS12" s="140"/>
      <c r="BT12" s="140"/>
      <c r="BU12" s="140"/>
      <c r="BV12" s="140"/>
      <c r="BW12" s="140"/>
      <c r="BX12" s="140"/>
      <c r="BY12" s="140"/>
      <c r="BZ12" s="140"/>
      <c r="CA12" s="140"/>
      <c r="CB12" s="140"/>
      <c r="CC12" s="140"/>
      <c r="CD12" s="140"/>
      <c r="CE12" s="140"/>
      <c r="CF12" s="140"/>
      <c r="CG12" s="140"/>
      <c r="CH12" s="140"/>
      <c r="CI12" s="140"/>
      <c r="CJ12" s="140"/>
      <c r="CK12" s="140"/>
      <c r="CL12" s="140"/>
      <c r="CM12" s="140"/>
      <c r="CN12" s="140"/>
      <c r="CO12" s="140"/>
      <c r="CP12" s="140"/>
      <c r="CQ12" s="140"/>
      <c r="CR12" s="140"/>
      <c r="CS12" s="140"/>
      <c r="CT12" s="140"/>
      <c r="CU12" s="140"/>
      <c r="CV12" s="140"/>
      <c r="CW12" s="140"/>
      <c r="CX12" s="140"/>
      <c r="CY12" s="140"/>
      <c r="CZ12" s="140"/>
      <c r="DA12" s="140"/>
      <c r="DB12" s="140"/>
      <c r="DC12" s="140"/>
      <c r="DD12" s="140"/>
      <c r="DE12" s="140"/>
      <c r="DF12" s="140"/>
      <c r="DG12" s="140"/>
      <c r="DH12" s="140"/>
      <c r="DI12" s="140"/>
      <c r="DJ12" s="140"/>
      <c r="DK12" s="140"/>
      <c r="DL12" s="140"/>
      <c r="DM12" s="140"/>
      <c r="DN12" s="136"/>
      <c r="DO12" s="136"/>
      <c r="DP12" s="136"/>
      <c r="DQ12" s="136"/>
      <c r="DR12" s="140"/>
      <c r="DS12" s="140"/>
      <c r="DT12" s="140"/>
      <c r="DU12" s="140"/>
      <c r="DV12" s="129"/>
      <c r="DW12" s="129"/>
      <c r="DX12" s="129"/>
      <c r="DY12" s="129"/>
      <c r="DZ12" s="140"/>
      <c r="EA12" s="140"/>
      <c r="EB12" s="140"/>
      <c r="EC12" s="140"/>
      <c r="ED12" s="140"/>
      <c r="EE12" s="140"/>
      <c r="EF12" s="140"/>
      <c r="EG12" s="140"/>
      <c r="EH12" s="140"/>
      <c r="EI12" s="140"/>
      <c r="EJ12" s="140"/>
      <c r="EK12" s="140"/>
      <c r="EL12" s="140"/>
      <c r="EM12" s="140"/>
      <c r="EN12" s="140"/>
      <c r="EO12" s="140"/>
      <c r="EP12" s="140"/>
      <c r="EQ12" s="140"/>
      <c r="ER12" s="140"/>
      <c r="ES12" s="175"/>
      <c r="ET12" s="140"/>
      <c r="EU12" s="140"/>
      <c r="EV12" s="175"/>
      <c r="EW12" s="140"/>
      <c r="EX12" s="140"/>
      <c r="EY12" s="175"/>
      <c r="EZ12" s="140"/>
      <c r="FA12" s="140"/>
      <c r="FB12" s="175"/>
      <c r="FC12" s="140"/>
      <c r="FD12" s="140"/>
      <c r="FE12" s="140"/>
      <c r="FF12" s="140"/>
      <c r="FG12" s="140"/>
      <c r="FH12" s="140"/>
      <c r="FI12" s="140"/>
      <c r="FJ12" s="140"/>
      <c r="FK12" s="140"/>
      <c r="FL12" s="140"/>
      <c r="FM12" s="140"/>
      <c r="FN12" s="140"/>
      <c r="FO12" s="140"/>
      <c r="FP12" s="140"/>
      <c r="FQ12" s="140"/>
      <c r="FR12" s="140"/>
      <c r="FS12" s="140"/>
      <c r="FT12" s="140"/>
      <c r="FU12" s="140"/>
      <c r="FV12" s="140"/>
      <c r="FW12" s="140"/>
      <c r="FX12" s="140"/>
      <c r="FY12" s="140"/>
      <c r="FZ12" s="140"/>
      <c r="GA12" s="140"/>
      <c r="GB12" s="140"/>
      <c r="GC12" s="140"/>
      <c r="GD12" s="129"/>
      <c r="GE12" s="140"/>
      <c r="GF12" s="140"/>
      <c r="GG12" s="140"/>
      <c r="GH12" s="140"/>
      <c r="GI12" s="140"/>
      <c r="GJ12" s="140"/>
      <c r="GK12" s="140"/>
      <c r="GL12" s="140"/>
      <c r="GM12" s="64"/>
      <c r="GN12" s="64"/>
      <c r="GO12" s="64"/>
      <c r="GP12" s="64"/>
      <c r="GQ12" s="64"/>
      <c r="GR12" s="64"/>
      <c r="GS12" s="64"/>
      <c r="GT12" s="64"/>
      <c r="GU12" s="64"/>
      <c r="GV12" s="64"/>
      <c r="GW12" s="64"/>
      <c r="GX12" s="64"/>
    </row>
    <row r="13" spans="1:206">
      <c r="A13" s="174"/>
      <c r="B13" s="140"/>
      <c r="C13" s="140"/>
      <c r="D13" s="140"/>
      <c r="E13" s="140"/>
      <c r="F13" s="140"/>
      <c r="G13" s="140"/>
      <c r="H13" s="140"/>
      <c r="I13" s="140"/>
      <c r="J13" s="140"/>
      <c r="K13" s="140"/>
      <c r="L13" s="140"/>
      <c r="M13" s="140"/>
      <c r="N13" s="140"/>
      <c r="O13" s="140"/>
      <c r="P13" s="140"/>
      <c r="Q13" s="140"/>
      <c r="R13" s="140"/>
      <c r="S13" s="140"/>
      <c r="T13" s="140"/>
      <c r="U13" s="140"/>
      <c r="V13" s="140"/>
      <c r="W13" s="140"/>
      <c r="X13" s="140"/>
      <c r="Y13" s="140"/>
      <c r="Z13" s="140"/>
      <c r="AA13" s="140"/>
      <c r="AB13" s="140"/>
      <c r="AC13" s="140"/>
      <c r="AD13" s="140"/>
      <c r="AE13" s="140"/>
      <c r="AF13" s="140"/>
      <c r="AG13" s="68"/>
      <c r="AH13" s="140"/>
      <c r="AI13" s="140"/>
      <c r="AJ13" s="140"/>
      <c r="AK13" s="140"/>
      <c r="AL13" s="140"/>
      <c r="AM13" s="140"/>
      <c r="AN13" s="140"/>
      <c r="AO13" s="140"/>
      <c r="AP13" s="140"/>
      <c r="AQ13" s="140"/>
      <c r="AR13" s="140"/>
      <c r="AS13" s="140"/>
      <c r="AT13" s="140"/>
      <c r="AU13" s="140"/>
      <c r="AV13" s="140"/>
      <c r="AW13" s="140"/>
      <c r="AX13" s="140"/>
      <c r="AY13" s="140"/>
      <c r="AZ13" s="140"/>
      <c r="BA13" s="140"/>
      <c r="BB13" s="140"/>
      <c r="BC13" s="140"/>
      <c r="BD13" s="140"/>
      <c r="BE13" s="140"/>
      <c r="BF13" s="140"/>
      <c r="BG13" s="140"/>
      <c r="BH13" s="140"/>
      <c r="BI13" s="140"/>
      <c r="BJ13" s="140"/>
      <c r="BK13" s="129"/>
      <c r="BL13" s="140"/>
      <c r="BM13" s="140"/>
      <c r="BN13" s="140"/>
      <c r="BO13" s="140"/>
      <c r="BP13" s="140"/>
      <c r="BQ13" s="140"/>
      <c r="BR13" s="140"/>
      <c r="BS13" s="140"/>
      <c r="BT13" s="140"/>
      <c r="BU13" s="140"/>
      <c r="BV13" s="140"/>
      <c r="BW13" s="140"/>
      <c r="BX13" s="140"/>
      <c r="BY13" s="140"/>
      <c r="BZ13" s="140"/>
      <c r="CA13" s="140"/>
      <c r="CB13" s="140"/>
      <c r="CC13" s="140"/>
      <c r="CD13" s="140"/>
      <c r="CE13" s="140"/>
      <c r="CF13" s="140"/>
      <c r="CG13" s="140"/>
      <c r="CH13" s="140"/>
      <c r="CI13" s="140"/>
      <c r="CJ13" s="140"/>
      <c r="CK13" s="140"/>
      <c r="CL13" s="140"/>
      <c r="CM13" s="140"/>
      <c r="CN13" s="140"/>
      <c r="CO13" s="140"/>
      <c r="CP13" s="140"/>
      <c r="CQ13" s="140"/>
      <c r="CR13" s="140"/>
      <c r="CS13" s="140"/>
      <c r="CT13" s="140"/>
      <c r="CU13" s="140"/>
      <c r="CV13" s="140"/>
      <c r="CW13" s="140"/>
      <c r="CX13" s="140"/>
      <c r="CY13" s="140"/>
      <c r="CZ13" s="140"/>
      <c r="DA13" s="140"/>
      <c r="DB13" s="140"/>
      <c r="DC13" s="140"/>
      <c r="DD13" s="140"/>
      <c r="DE13" s="140"/>
      <c r="DF13" s="140"/>
      <c r="DG13" s="140"/>
      <c r="DH13" s="140"/>
      <c r="DI13" s="140"/>
      <c r="DJ13" s="140"/>
      <c r="DK13" s="140"/>
      <c r="DL13" s="140"/>
      <c r="DM13" s="140"/>
      <c r="DN13" s="136"/>
      <c r="DO13" s="136"/>
      <c r="DP13" s="136"/>
      <c r="DQ13" s="136"/>
      <c r="DR13" s="140"/>
      <c r="DS13" s="140"/>
      <c r="DT13" s="140"/>
      <c r="DU13" s="140"/>
      <c r="DV13" s="129"/>
      <c r="DW13" s="129"/>
      <c r="DX13" s="129"/>
      <c r="DY13" s="129"/>
      <c r="DZ13" s="140"/>
      <c r="EA13" s="140"/>
      <c r="EB13" s="140"/>
      <c r="EC13" s="140"/>
      <c r="ED13" s="140"/>
      <c r="EE13" s="140"/>
      <c r="EF13" s="140"/>
      <c r="EG13" s="140"/>
      <c r="EH13" s="140"/>
      <c r="EI13" s="140"/>
      <c r="EJ13" s="140"/>
      <c r="EK13" s="140"/>
      <c r="EL13" s="140"/>
      <c r="EM13" s="140"/>
      <c r="EN13" s="140"/>
      <c r="EO13" s="140"/>
      <c r="EP13" s="140"/>
      <c r="EQ13" s="140"/>
      <c r="ER13" s="140"/>
      <c r="ES13" s="175"/>
      <c r="ET13" s="140"/>
      <c r="EU13" s="140"/>
      <c r="EV13" s="175"/>
      <c r="EW13" s="140"/>
      <c r="EX13" s="140"/>
      <c r="EY13" s="175"/>
      <c r="EZ13" s="140"/>
      <c r="FA13" s="140"/>
      <c r="FB13" s="175"/>
      <c r="FC13" s="140"/>
      <c r="FD13" s="140"/>
      <c r="FE13" s="140"/>
      <c r="FF13" s="140"/>
      <c r="FG13" s="140"/>
      <c r="FH13" s="140"/>
      <c r="FI13" s="140"/>
      <c r="FJ13" s="140"/>
      <c r="FK13" s="140"/>
      <c r="FL13" s="140"/>
      <c r="FM13" s="140"/>
      <c r="FN13" s="140"/>
      <c r="FO13" s="140"/>
      <c r="FP13" s="140"/>
      <c r="FQ13" s="140"/>
      <c r="FR13" s="140"/>
      <c r="FS13" s="140"/>
      <c r="FT13" s="140"/>
      <c r="FU13" s="140"/>
      <c r="FV13" s="140"/>
      <c r="FW13" s="140"/>
      <c r="FX13" s="140"/>
      <c r="FY13" s="140"/>
      <c r="FZ13" s="140"/>
      <c r="GA13" s="140"/>
      <c r="GB13" s="140"/>
      <c r="GC13" s="140"/>
      <c r="GD13" s="129"/>
      <c r="GE13" s="140"/>
      <c r="GF13" s="140"/>
      <c r="GG13" s="140"/>
      <c r="GH13" s="140"/>
      <c r="GI13" s="140"/>
      <c r="GJ13" s="140"/>
      <c r="GK13" s="140"/>
      <c r="GL13" s="140"/>
      <c r="GM13" s="64"/>
      <c r="GN13" s="64"/>
      <c r="GO13" s="64"/>
      <c r="GP13" s="64"/>
      <c r="GQ13" s="64"/>
      <c r="GR13" s="64"/>
      <c r="GS13" s="64"/>
      <c r="GT13" s="64"/>
      <c r="GU13" s="64"/>
      <c r="GV13" s="64"/>
      <c r="GW13" s="64"/>
      <c r="GX13" s="64"/>
    </row>
    <row r="14" spans="1:206">
      <c r="A14" s="174"/>
      <c r="B14" s="140"/>
      <c r="C14" s="140"/>
      <c r="D14" s="140"/>
      <c r="E14" s="140"/>
      <c r="F14" s="140"/>
      <c r="G14" s="140"/>
      <c r="H14" s="140"/>
      <c r="I14" s="140"/>
      <c r="J14" s="140"/>
      <c r="K14" s="140"/>
      <c r="L14" s="140"/>
      <c r="M14" s="140"/>
      <c r="N14" s="140"/>
      <c r="O14" s="140"/>
      <c r="P14" s="140"/>
      <c r="Q14" s="140"/>
      <c r="R14" s="140"/>
      <c r="S14" s="140"/>
      <c r="T14" s="140"/>
      <c r="U14" s="140"/>
      <c r="V14" s="140"/>
      <c r="W14" s="140"/>
      <c r="X14" s="140"/>
      <c r="Y14" s="140"/>
      <c r="Z14" s="140"/>
      <c r="AA14" s="140"/>
      <c r="AB14" s="140"/>
      <c r="AC14" s="140"/>
      <c r="AD14" s="140"/>
      <c r="AE14" s="140"/>
      <c r="AF14" s="140"/>
      <c r="AG14" s="68"/>
      <c r="AH14" s="140"/>
      <c r="AI14" s="140"/>
      <c r="AJ14" s="140"/>
      <c r="AK14" s="140"/>
      <c r="AL14" s="140"/>
      <c r="AM14" s="140"/>
      <c r="AN14" s="140"/>
      <c r="AO14" s="140"/>
      <c r="AP14" s="140"/>
      <c r="AQ14" s="140"/>
      <c r="AR14" s="140"/>
      <c r="AS14" s="140"/>
      <c r="AT14" s="140"/>
      <c r="AU14" s="140"/>
      <c r="AV14" s="140"/>
      <c r="AW14" s="140"/>
      <c r="AX14" s="140"/>
      <c r="AY14" s="140"/>
      <c r="AZ14" s="140"/>
      <c r="BA14" s="140"/>
      <c r="BB14" s="140"/>
      <c r="BC14" s="140"/>
      <c r="BD14" s="140"/>
      <c r="BE14" s="140"/>
      <c r="BF14" s="140"/>
      <c r="BG14" s="140"/>
      <c r="BH14" s="140"/>
      <c r="BI14" s="140"/>
      <c r="BJ14" s="140"/>
      <c r="BK14" s="129"/>
      <c r="BL14" s="140"/>
      <c r="BM14" s="140"/>
      <c r="BN14" s="140"/>
      <c r="BO14" s="140"/>
      <c r="BP14" s="140"/>
      <c r="BQ14" s="140"/>
      <c r="BR14" s="140"/>
      <c r="BS14" s="140"/>
      <c r="BT14" s="140"/>
      <c r="BU14" s="140"/>
      <c r="BV14" s="140"/>
      <c r="BW14" s="140"/>
      <c r="BX14" s="140"/>
      <c r="BY14" s="140"/>
      <c r="BZ14" s="140"/>
      <c r="CA14" s="140"/>
      <c r="CB14" s="140"/>
      <c r="CC14" s="140"/>
      <c r="CD14" s="140"/>
      <c r="CE14" s="140"/>
      <c r="CF14" s="140"/>
      <c r="CG14" s="140"/>
      <c r="CH14" s="140"/>
      <c r="CI14" s="140"/>
      <c r="CJ14" s="140"/>
      <c r="CK14" s="140"/>
      <c r="CL14" s="140"/>
      <c r="CM14" s="140"/>
      <c r="CN14" s="140"/>
      <c r="CO14" s="140"/>
      <c r="CP14" s="140"/>
      <c r="CQ14" s="140"/>
      <c r="CR14" s="140"/>
      <c r="CS14" s="140"/>
      <c r="CT14" s="140"/>
      <c r="CU14" s="140"/>
      <c r="CV14" s="140"/>
      <c r="CW14" s="140"/>
      <c r="CX14" s="140"/>
      <c r="CY14" s="140"/>
      <c r="CZ14" s="140"/>
      <c r="DA14" s="140"/>
      <c r="DB14" s="140"/>
      <c r="DC14" s="140"/>
      <c r="DD14" s="140"/>
      <c r="DE14" s="140"/>
      <c r="DF14" s="140"/>
      <c r="DG14" s="140"/>
      <c r="DH14" s="140"/>
      <c r="DI14" s="140"/>
      <c r="DJ14" s="140"/>
      <c r="DK14" s="140"/>
      <c r="DL14" s="140"/>
      <c r="DM14" s="140"/>
      <c r="DN14" s="136"/>
      <c r="DO14" s="136"/>
      <c r="DP14" s="136"/>
      <c r="DQ14" s="136"/>
      <c r="DR14" s="140"/>
      <c r="DS14" s="140"/>
      <c r="DT14" s="140"/>
      <c r="DU14" s="140"/>
      <c r="DV14" s="129"/>
      <c r="DW14" s="129"/>
      <c r="DX14" s="129"/>
      <c r="DY14" s="129"/>
      <c r="DZ14" s="140"/>
      <c r="EA14" s="140"/>
      <c r="EB14" s="140"/>
      <c r="EC14" s="140"/>
      <c r="ED14" s="140"/>
      <c r="EE14" s="140"/>
      <c r="EF14" s="140"/>
      <c r="EG14" s="140"/>
      <c r="EH14" s="140"/>
      <c r="EI14" s="140"/>
      <c r="EJ14" s="140"/>
      <c r="EK14" s="140"/>
      <c r="EL14" s="140"/>
      <c r="EM14" s="140"/>
      <c r="EN14" s="140"/>
      <c r="EO14" s="140"/>
      <c r="EP14" s="140"/>
      <c r="EQ14" s="140"/>
      <c r="ER14" s="140"/>
      <c r="ES14" s="175"/>
      <c r="ET14" s="140"/>
      <c r="EU14" s="140"/>
      <c r="EV14" s="175"/>
      <c r="EW14" s="140"/>
      <c r="EX14" s="140"/>
      <c r="EY14" s="175"/>
      <c r="EZ14" s="140"/>
      <c r="FA14" s="140"/>
      <c r="FB14" s="175"/>
      <c r="FC14" s="140"/>
      <c r="FD14" s="140"/>
      <c r="FE14" s="140"/>
      <c r="FF14" s="140"/>
      <c r="FG14" s="140"/>
      <c r="FH14" s="140"/>
      <c r="FI14" s="140"/>
      <c r="FJ14" s="140"/>
      <c r="FK14" s="140"/>
      <c r="FL14" s="140"/>
      <c r="FM14" s="140"/>
      <c r="FN14" s="140"/>
      <c r="FO14" s="140"/>
      <c r="FP14" s="140"/>
      <c r="FQ14" s="140"/>
      <c r="FR14" s="140"/>
      <c r="FS14" s="140"/>
      <c r="FT14" s="140"/>
      <c r="FU14" s="140"/>
      <c r="FV14" s="140"/>
      <c r="FW14" s="140"/>
      <c r="FX14" s="140"/>
      <c r="FY14" s="140"/>
      <c r="FZ14" s="140"/>
      <c r="GA14" s="140"/>
      <c r="GB14" s="140"/>
      <c r="GC14" s="140"/>
      <c r="GD14" s="129"/>
      <c r="GE14" s="140"/>
      <c r="GF14" s="140"/>
      <c r="GG14" s="140"/>
      <c r="GH14" s="140"/>
      <c r="GI14" s="140"/>
      <c r="GJ14" s="140"/>
      <c r="GK14" s="140"/>
      <c r="GL14" s="140"/>
      <c r="GM14" s="64"/>
      <c r="GN14" s="64"/>
      <c r="GO14" s="64"/>
      <c r="GP14" s="64"/>
      <c r="GQ14" s="64"/>
      <c r="GR14" s="64"/>
      <c r="GS14" s="64"/>
      <c r="GT14" s="64"/>
      <c r="GU14" s="64"/>
      <c r="GV14" s="64"/>
      <c r="GW14" s="64"/>
      <c r="GX14" s="64"/>
    </row>
    <row r="15" spans="1:206">
      <c r="A15" s="174"/>
      <c r="B15" s="140"/>
      <c r="C15" s="140"/>
      <c r="D15" s="140"/>
      <c r="E15" s="140"/>
      <c r="F15" s="140"/>
      <c r="G15" s="140"/>
      <c r="H15" s="140"/>
      <c r="I15" s="140"/>
      <c r="J15" s="140"/>
      <c r="K15" s="140"/>
      <c r="L15" s="140"/>
      <c r="M15" s="140"/>
      <c r="N15" s="140"/>
      <c r="O15" s="140"/>
      <c r="P15" s="140"/>
      <c r="Q15" s="140"/>
      <c r="R15" s="140"/>
      <c r="S15" s="140"/>
      <c r="T15" s="140"/>
      <c r="U15" s="140"/>
      <c r="V15" s="140"/>
      <c r="W15" s="140"/>
      <c r="X15" s="140"/>
      <c r="Y15" s="140"/>
      <c r="Z15" s="140"/>
      <c r="AA15" s="140"/>
      <c r="AB15" s="140"/>
      <c r="AC15" s="140"/>
      <c r="AD15" s="140"/>
      <c r="AE15" s="140"/>
      <c r="AF15" s="140"/>
      <c r="AG15" s="68"/>
      <c r="AH15" s="140"/>
      <c r="AI15" s="140"/>
      <c r="AJ15" s="140"/>
      <c r="AK15" s="140"/>
      <c r="AL15" s="140"/>
      <c r="AM15" s="140"/>
      <c r="AN15" s="140"/>
      <c r="AO15" s="140"/>
      <c r="AP15" s="140"/>
      <c r="AQ15" s="140"/>
      <c r="AR15" s="140"/>
      <c r="AS15" s="140"/>
      <c r="AT15" s="140"/>
      <c r="AU15" s="140"/>
      <c r="AV15" s="140"/>
      <c r="AW15" s="140"/>
      <c r="AX15" s="140"/>
      <c r="AY15" s="140"/>
      <c r="AZ15" s="140"/>
      <c r="BA15" s="140"/>
      <c r="BB15" s="140"/>
      <c r="BC15" s="140"/>
      <c r="BD15" s="140"/>
      <c r="BE15" s="140"/>
      <c r="BF15" s="140"/>
      <c r="BG15" s="140"/>
      <c r="BH15" s="140"/>
      <c r="BI15" s="140"/>
      <c r="BJ15" s="140"/>
      <c r="BK15" s="129"/>
      <c r="BL15" s="140"/>
      <c r="BM15" s="140"/>
      <c r="BN15" s="140"/>
      <c r="BO15" s="140"/>
      <c r="BP15" s="140"/>
      <c r="BQ15" s="140"/>
      <c r="BR15" s="140"/>
      <c r="BS15" s="140"/>
      <c r="BT15" s="140"/>
      <c r="BU15" s="140"/>
      <c r="BV15" s="140"/>
      <c r="BW15" s="140"/>
      <c r="BX15" s="140"/>
      <c r="BY15" s="140"/>
      <c r="BZ15" s="140"/>
      <c r="CA15" s="140"/>
      <c r="CB15" s="140"/>
      <c r="CC15" s="140"/>
      <c r="CD15" s="140"/>
      <c r="CE15" s="140"/>
      <c r="CF15" s="140"/>
      <c r="CG15" s="140"/>
      <c r="CH15" s="140"/>
      <c r="CI15" s="140"/>
      <c r="CJ15" s="140"/>
      <c r="CK15" s="140"/>
      <c r="CL15" s="140"/>
      <c r="CM15" s="140"/>
      <c r="CN15" s="140"/>
      <c r="CO15" s="140"/>
      <c r="CP15" s="140"/>
      <c r="CQ15" s="140"/>
      <c r="CR15" s="140"/>
      <c r="CS15" s="140"/>
      <c r="CT15" s="140"/>
      <c r="CU15" s="140"/>
      <c r="CV15" s="140"/>
      <c r="CW15" s="140"/>
      <c r="CX15" s="140"/>
      <c r="CY15" s="140"/>
      <c r="CZ15" s="140"/>
      <c r="DA15" s="140"/>
      <c r="DB15" s="140"/>
      <c r="DC15" s="140"/>
      <c r="DD15" s="140"/>
      <c r="DE15" s="140"/>
      <c r="DF15" s="140"/>
      <c r="DG15" s="140"/>
      <c r="DH15" s="140"/>
      <c r="DI15" s="140"/>
      <c r="DJ15" s="140"/>
      <c r="DK15" s="140"/>
      <c r="DL15" s="140"/>
      <c r="DM15" s="140"/>
      <c r="DN15" s="136"/>
      <c r="DO15" s="136"/>
      <c r="DP15" s="136"/>
      <c r="DQ15" s="136"/>
      <c r="DR15" s="140"/>
      <c r="DS15" s="140"/>
      <c r="DT15" s="140"/>
      <c r="DU15" s="140"/>
      <c r="DV15" s="129"/>
      <c r="DW15" s="129"/>
      <c r="DX15" s="129"/>
      <c r="DY15" s="129"/>
      <c r="DZ15" s="140"/>
      <c r="EA15" s="140"/>
      <c r="EB15" s="140"/>
      <c r="EC15" s="140"/>
      <c r="ED15" s="140"/>
      <c r="EE15" s="140"/>
      <c r="EF15" s="140"/>
      <c r="EG15" s="140"/>
      <c r="EH15" s="140"/>
      <c r="EI15" s="140"/>
      <c r="EJ15" s="140"/>
      <c r="EK15" s="140"/>
      <c r="EL15" s="140"/>
      <c r="EM15" s="140"/>
      <c r="EN15" s="140"/>
      <c r="EO15" s="140"/>
      <c r="EP15" s="140"/>
      <c r="EQ15" s="140"/>
      <c r="ER15" s="140"/>
      <c r="ES15" s="175"/>
      <c r="ET15" s="140"/>
      <c r="EU15" s="140"/>
      <c r="EV15" s="175"/>
      <c r="EW15" s="140"/>
      <c r="EX15" s="140"/>
      <c r="EY15" s="175"/>
      <c r="EZ15" s="140"/>
      <c r="FA15" s="140"/>
      <c r="FB15" s="175"/>
      <c r="FC15" s="140"/>
      <c r="FD15" s="140"/>
      <c r="FE15" s="140"/>
      <c r="FF15" s="140"/>
      <c r="FG15" s="140"/>
      <c r="FH15" s="140"/>
      <c r="FI15" s="140"/>
      <c r="FJ15" s="140"/>
      <c r="FK15" s="140"/>
      <c r="FL15" s="140"/>
      <c r="FM15" s="140"/>
      <c r="FN15" s="140"/>
      <c r="FO15" s="140"/>
      <c r="FP15" s="140"/>
      <c r="FQ15" s="140"/>
      <c r="FR15" s="140"/>
      <c r="FS15" s="140"/>
      <c r="FT15" s="140"/>
      <c r="FU15" s="140"/>
      <c r="FV15" s="140"/>
      <c r="FW15" s="140"/>
      <c r="FX15" s="140"/>
      <c r="FY15" s="140"/>
      <c r="FZ15" s="140"/>
      <c r="GA15" s="140"/>
      <c r="GB15" s="140"/>
      <c r="GC15" s="140"/>
      <c r="GD15" s="129"/>
      <c r="GE15" s="140"/>
      <c r="GF15" s="140"/>
      <c r="GG15" s="140"/>
      <c r="GH15" s="140"/>
      <c r="GI15" s="140"/>
      <c r="GJ15" s="140"/>
      <c r="GK15" s="140"/>
      <c r="GL15" s="140"/>
      <c r="GM15" s="64"/>
      <c r="GN15" s="64"/>
      <c r="GO15" s="64"/>
      <c r="GP15" s="64"/>
      <c r="GQ15" s="64"/>
      <c r="GR15" s="64"/>
      <c r="GS15" s="64"/>
      <c r="GT15" s="64"/>
      <c r="GU15" s="64"/>
      <c r="GV15" s="64"/>
      <c r="GW15" s="64"/>
      <c r="GX15" s="64"/>
    </row>
    <row r="16" spans="1:206">
      <c r="A16" s="174"/>
      <c r="B16" s="140"/>
      <c r="C16" s="140"/>
      <c r="D16" s="140"/>
      <c r="E16" s="140"/>
      <c r="F16" s="140"/>
      <c r="G16" s="140"/>
      <c r="H16" s="140"/>
      <c r="I16" s="140"/>
      <c r="J16" s="140"/>
      <c r="K16" s="140"/>
      <c r="L16" s="140"/>
      <c r="M16" s="140"/>
      <c r="N16" s="140"/>
      <c r="O16" s="140"/>
      <c r="P16" s="140"/>
      <c r="Q16" s="140"/>
      <c r="R16" s="140"/>
      <c r="S16" s="140"/>
      <c r="T16" s="140"/>
      <c r="U16" s="140"/>
      <c r="V16" s="140"/>
      <c r="W16" s="140"/>
      <c r="X16" s="140"/>
      <c r="Y16" s="140"/>
      <c r="Z16" s="140"/>
      <c r="AA16" s="140"/>
      <c r="AB16" s="140"/>
      <c r="AC16" s="140"/>
      <c r="AD16" s="140"/>
      <c r="AE16" s="140"/>
      <c r="AF16" s="140"/>
      <c r="AG16" s="68"/>
      <c r="AH16" s="140"/>
      <c r="AI16" s="140"/>
      <c r="AJ16" s="140"/>
      <c r="AK16" s="140"/>
      <c r="AL16" s="140"/>
      <c r="AM16" s="140"/>
      <c r="AN16" s="140"/>
      <c r="AO16" s="140"/>
      <c r="AP16" s="140"/>
      <c r="AQ16" s="140"/>
      <c r="AR16" s="140"/>
      <c r="AS16" s="140"/>
      <c r="AT16" s="140"/>
      <c r="AU16" s="140"/>
      <c r="AV16" s="140"/>
      <c r="AW16" s="140"/>
      <c r="AX16" s="140"/>
      <c r="AY16" s="140"/>
      <c r="AZ16" s="140"/>
      <c r="BA16" s="140"/>
      <c r="BB16" s="140"/>
      <c r="BC16" s="140"/>
      <c r="BD16" s="140"/>
      <c r="BE16" s="140"/>
      <c r="BF16" s="140"/>
      <c r="BG16" s="140"/>
      <c r="BH16" s="140"/>
      <c r="BI16" s="140"/>
      <c r="BJ16" s="140"/>
      <c r="BK16" s="129"/>
      <c r="BL16" s="140"/>
      <c r="BM16" s="140"/>
      <c r="BN16" s="140"/>
      <c r="BO16" s="140"/>
      <c r="BP16" s="140"/>
      <c r="BQ16" s="140"/>
      <c r="BR16" s="140"/>
      <c r="BS16" s="140"/>
      <c r="BT16" s="140"/>
      <c r="BU16" s="140"/>
      <c r="BV16" s="140"/>
      <c r="BW16" s="140"/>
      <c r="BX16" s="140"/>
      <c r="BY16" s="140"/>
      <c r="BZ16" s="140"/>
      <c r="CA16" s="140"/>
      <c r="CB16" s="140"/>
      <c r="CC16" s="140"/>
      <c r="CD16" s="140"/>
      <c r="CE16" s="140"/>
      <c r="CF16" s="140"/>
      <c r="CG16" s="140"/>
      <c r="CH16" s="140"/>
      <c r="CI16" s="140"/>
      <c r="CJ16" s="140"/>
      <c r="CK16" s="140"/>
      <c r="CL16" s="140"/>
      <c r="CM16" s="140"/>
      <c r="CN16" s="140"/>
      <c r="CO16" s="140"/>
      <c r="CP16" s="140"/>
      <c r="CQ16" s="140"/>
      <c r="CR16" s="140"/>
      <c r="CS16" s="140"/>
      <c r="CT16" s="140"/>
      <c r="CU16" s="140"/>
      <c r="CV16" s="140"/>
      <c r="CW16" s="140"/>
      <c r="CX16" s="140"/>
      <c r="CY16" s="140"/>
      <c r="CZ16" s="140"/>
      <c r="DA16" s="140"/>
      <c r="DB16" s="140"/>
      <c r="DC16" s="140"/>
      <c r="DD16" s="140"/>
      <c r="DE16" s="140"/>
      <c r="DF16" s="140"/>
      <c r="DG16" s="140"/>
      <c r="DH16" s="140"/>
      <c r="DI16" s="140"/>
      <c r="DJ16" s="140"/>
      <c r="DK16" s="140"/>
      <c r="DL16" s="140"/>
      <c r="DM16" s="140"/>
      <c r="DN16" s="136"/>
      <c r="DO16" s="136"/>
      <c r="DP16" s="136"/>
      <c r="DQ16" s="136"/>
      <c r="DR16" s="140"/>
      <c r="DS16" s="140"/>
      <c r="DT16" s="140"/>
      <c r="DU16" s="140"/>
      <c r="DV16" s="129"/>
      <c r="DW16" s="129"/>
      <c r="DX16" s="129"/>
      <c r="DY16" s="129"/>
      <c r="DZ16" s="140"/>
      <c r="EA16" s="140"/>
      <c r="EB16" s="140"/>
      <c r="EC16" s="140"/>
      <c r="ED16" s="140"/>
      <c r="EE16" s="140"/>
      <c r="EF16" s="140"/>
      <c r="EG16" s="140"/>
      <c r="EH16" s="140"/>
      <c r="EI16" s="140"/>
      <c r="EJ16" s="140"/>
      <c r="EK16" s="140"/>
      <c r="EL16" s="140"/>
      <c r="EM16" s="140"/>
      <c r="EN16" s="140"/>
      <c r="EO16" s="140"/>
      <c r="EP16" s="140"/>
      <c r="EQ16" s="140"/>
      <c r="ER16" s="140"/>
      <c r="ES16" s="175"/>
      <c r="ET16" s="140"/>
      <c r="EU16" s="140"/>
      <c r="EV16" s="175"/>
      <c r="EW16" s="140"/>
      <c r="EX16" s="140"/>
      <c r="EY16" s="175"/>
      <c r="EZ16" s="140"/>
      <c r="FA16" s="140"/>
      <c r="FB16" s="175"/>
      <c r="FC16" s="140"/>
      <c r="FD16" s="140"/>
      <c r="FE16" s="140"/>
      <c r="FF16" s="140"/>
      <c r="FG16" s="140"/>
      <c r="FH16" s="140"/>
      <c r="FI16" s="140"/>
      <c r="FJ16" s="140"/>
      <c r="FK16" s="140"/>
      <c r="FL16" s="140"/>
      <c r="FM16" s="140"/>
      <c r="FN16" s="140"/>
      <c r="FO16" s="140"/>
      <c r="FP16" s="140"/>
      <c r="FQ16" s="140"/>
      <c r="FR16" s="140"/>
      <c r="FS16" s="140"/>
      <c r="FT16" s="140"/>
      <c r="FU16" s="140"/>
      <c r="FV16" s="140"/>
      <c r="FW16" s="140"/>
      <c r="FX16" s="140"/>
      <c r="FY16" s="140"/>
      <c r="FZ16" s="140"/>
      <c r="GA16" s="140"/>
      <c r="GB16" s="140"/>
      <c r="GC16" s="140"/>
      <c r="GD16" s="129"/>
      <c r="GE16" s="140"/>
      <c r="GF16" s="140"/>
      <c r="GG16" s="140"/>
      <c r="GH16" s="140"/>
      <c r="GI16" s="140"/>
      <c r="GJ16" s="140"/>
      <c r="GK16" s="140"/>
      <c r="GL16" s="140"/>
      <c r="GM16" s="64"/>
      <c r="GN16" s="64"/>
      <c r="GO16" s="64"/>
      <c r="GP16" s="64"/>
      <c r="GQ16" s="64"/>
      <c r="GR16" s="64"/>
      <c r="GS16" s="64"/>
      <c r="GT16" s="64"/>
      <c r="GU16" s="64"/>
      <c r="GV16" s="64"/>
      <c r="GW16" s="64"/>
      <c r="GX16" s="64"/>
    </row>
    <row r="17" spans="1:206">
      <c r="A17" s="174"/>
      <c r="B17" s="140"/>
      <c r="C17" s="140"/>
      <c r="D17" s="140"/>
      <c r="E17" s="140"/>
      <c r="F17" s="140"/>
      <c r="G17" s="140"/>
      <c r="H17" s="140"/>
      <c r="I17" s="140"/>
      <c r="J17" s="140"/>
      <c r="K17" s="140"/>
      <c r="L17" s="140"/>
      <c r="M17" s="140"/>
      <c r="N17" s="140"/>
      <c r="O17" s="140"/>
      <c r="P17" s="140"/>
      <c r="Q17" s="140"/>
      <c r="R17" s="140"/>
      <c r="S17" s="140"/>
      <c r="T17" s="140"/>
      <c r="U17" s="140"/>
      <c r="V17" s="140"/>
      <c r="W17" s="140"/>
      <c r="X17" s="140"/>
      <c r="Y17" s="140"/>
      <c r="Z17" s="140"/>
      <c r="AA17" s="140"/>
      <c r="AB17" s="140"/>
      <c r="AC17" s="140"/>
      <c r="AD17" s="140"/>
      <c r="AE17" s="140"/>
      <c r="AF17" s="140"/>
      <c r="AG17" s="68"/>
      <c r="AH17" s="140"/>
      <c r="AI17" s="140"/>
      <c r="AJ17" s="140"/>
      <c r="AK17" s="140"/>
      <c r="AL17" s="140"/>
      <c r="AM17" s="140"/>
      <c r="AN17" s="140"/>
      <c r="AO17" s="140"/>
      <c r="AP17" s="140"/>
      <c r="AQ17" s="140"/>
      <c r="AR17" s="140"/>
      <c r="AS17" s="140"/>
      <c r="AT17" s="140"/>
      <c r="AU17" s="140"/>
      <c r="AV17" s="140"/>
      <c r="AW17" s="140"/>
      <c r="AX17" s="140"/>
      <c r="AY17" s="140"/>
      <c r="AZ17" s="140"/>
      <c r="BA17" s="140"/>
      <c r="BB17" s="140"/>
      <c r="BC17" s="140"/>
      <c r="BD17" s="140"/>
      <c r="BE17" s="140"/>
      <c r="BF17" s="140"/>
      <c r="BG17" s="140"/>
      <c r="BH17" s="140"/>
      <c r="BI17" s="140"/>
      <c r="BJ17" s="140"/>
      <c r="BK17" s="129"/>
      <c r="BL17" s="140"/>
      <c r="BM17" s="140"/>
      <c r="BN17" s="140"/>
      <c r="BO17" s="140"/>
      <c r="BP17" s="140"/>
      <c r="BQ17" s="140"/>
      <c r="BR17" s="140"/>
      <c r="BS17" s="140"/>
      <c r="BT17" s="140"/>
      <c r="BU17" s="140"/>
      <c r="BV17" s="140"/>
      <c r="BW17" s="140"/>
      <c r="BX17" s="140"/>
      <c r="BY17" s="140"/>
      <c r="BZ17" s="140"/>
      <c r="CA17" s="140"/>
      <c r="CB17" s="140"/>
      <c r="CC17" s="140"/>
      <c r="CD17" s="140"/>
      <c r="CE17" s="140"/>
      <c r="CF17" s="140"/>
      <c r="CG17" s="140"/>
      <c r="CH17" s="140"/>
      <c r="CI17" s="140"/>
      <c r="CJ17" s="140"/>
      <c r="CK17" s="140"/>
      <c r="CL17" s="140"/>
      <c r="CM17" s="140"/>
      <c r="CN17" s="140"/>
      <c r="CO17" s="140"/>
      <c r="CP17" s="140"/>
      <c r="CQ17" s="140"/>
      <c r="CR17" s="140"/>
      <c r="CS17" s="140"/>
      <c r="CT17" s="140"/>
      <c r="CU17" s="140"/>
      <c r="CV17" s="140"/>
      <c r="CW17" s="140"/>
      <c r="CX17" s="140"/>
      <c r="CY17" s="140"/>
      <c r="CZ17" s="140"/>
      <c r="DA17" s="140"/>
      <c r="DB17" s="140"/>
      <c r="DC17" s="140"/>
      <c r="DD17" s="140"/>
      <c r="DE17" s="140"/>
      <c r="DF17" s="140"/>
      <c r="DG17" s="140"/>
      <c r="DH17" s="140"/>
      <c r="DI17" s="140"/>
      <c r="DJ17" s="140"/>
      <c r="DK17" s="140"/>
      <c r="DL17" s="140"/>
      <c r="DM17" s="140"/>
      <c r="DN17" s="136"/>
      <c r="DO17" s="136"/>
      <c r="DP17" s="136"/>
      <c r="DQ17" s="136"/>
      <c r="DR17" s="140"/>
      <c r="DS17" s="140"/>
      <c r="DT17" s="140"/>
      <c r="DU17" s="140"/>
      <c r="DV17" s="129"/>
      <c r="DW17" s="129"/>
      <c r="DX17" s="129"/>
      <c r="DY17" s="129"/>
      <c r="DZ17" s="140"/>
      <c r="EA17" s="140"/>
      <c r="EB17" s="140"/>
      <c r="EC17" s="140"/>
      <c r="ED17" s="140"/>
      <c r="EE17" s="140"/>
      <c r="EF17" s="140"/>
      <c r="EG17" s="140"/>
      <c r="EH17" s="140"/>
      <c r="EI17" s="140"/>
      <c r="EJ17" s="140"/>
      <c r="EK17" s="140"/>
      <c r="EL17" s="140"/>
      <c r="EM17" s="140"/>
      <c r="EN17" s="140"/>
      <c r="EO17" s="140"/>
      <c r="EP17" s="140"/>
      <c r="EQ17" s="140"/>
      <c r="ER17" s="140"/>
      <c r="ES17" s="175"/>
      <c r="ET17" s="140"/>
      <c r="EU17" s="140"/>
      <c r="EV17" s="175"/>
      <c r="EW17" s="140"/>
      <c r="EX17" s="140"/>
      <c r="EY17" s="175"/>
      <c r="EZ17" s="140"/>
      <c r="FA17" s="140"/>
      <c r="FB17" s="175"/>
      <c r="FC17" s="140"/>
      <c r="FD17" s="140"/>
      <c r="FE17" s="140"/>
      <c r="FF17" s="140"/>
      <c r="FG17" s="140"/>
      <c r="FH17" s="140"/>
      <c r="FI17" s="140"/>
      <c r="FJ17" s="140"/>
      <c r="FK17" s="140"/>
      <c r="FL17" s="140"/>
      <c r="FM17" s="140"/>
      <c r="FN17" s="140"/>
      <c r="FO17" s="140"/>
      <c r="FP17" s="140"/>
      <c r="FQ17" s="140"/>
      <c r="FR17" s="140"/>
      <c r="FS17" s="140"/>
      <c r="FT17" s="140"/>
      <c r="FU17" s="140"/>
      <c r="FV17" s="140"/>
      <c r="FW17" s="140"/>
      <c r="FX17" s="140"/>
      <c r="FY17" s="140"/>
      <c r="FZ17" s="140"/>
      <c r="GA17" s="140"/>
      <c r="GB17" s="140"/>
      <c r="GC17" s="140"/>
      <c r="GD17" s="129"/>
      <c r="GE17" s="140"/>
      <c r="GF17" s="140"/>
      <c r="GG17" s="140"/>
      <c r="GH17" s="140"/>
      <c r="GI17" s="140"/>
      <c r="GJ17" s="140"/>
      <c r="GK17" s="140"/>
      <c r="GL17" s="140"/>
      <c r="GM17" s="64"/>
      <c r="GN17" s="64"/>
      <c r="GO17" s="64"/>
      <c r="GP17" s="64"/>
      <c r="GQ17" s="64"/>
      <c r="GR17" s="64"/>
      <c r="GS17" s="64"/>
      <c r="GT17" s="64"/>
      <c r="GU17" s="64"/>
      <c r="GV17" s="64"/>
      <c r="GW17" s="64"/>
      <c r="GX17" s="64"/>
    </row>
    <row r="18" spans="1:206">
      <c r="A18" s="174"/>
      <c r="B18" s="140"/>
      <c r="C18" s="140"/>
      <c r="D18" s="140"/>
      <c r="E18" s="140"/>
      <c r="F18" s="140"/>
      <c r="G18" s="140"/>
      <c r="H18" s="140"/>
      <c r="I18" s="140"/>
      <c r="J18" s="140"/>
      <c r="K18" s="140"/>
      <c r="L18" s="140"/>
      <c r="M18" s="140"/>
      <c r="N18" s="140"/>
      <c r="O18" s="140"/>
      <c r="P18" s="140"/>
      <c r="Q18" s="140"/>
      <c r="R18" s="140"/>
      <c r="S18" s="140"/>
      <c r="T18" s="140"/>
      <c r="U18" s="140"/>
      <c r="V18" s="140"/>
      <c r="W18" s="140"/>
      <c r="X18" s="140"/>
      <c r="Y18" s="140"/>
      <c r="Z18" s="140"/>
      <c r="AA18" s="140"/>
      <c r="AB18" s="140"/>
      <c r="AC18" s="140"/>
      <c r="AD18" s="140"/>
      <c r="AE18" s="140"/>
      <c r="AF18" s="140"/>
      <c r="AG18" s="68"/>
      <c r="AH18" s="140"/>
      <c r="AI18" s="140"/>
      <c r="AJ18" s="140"/>
      <c r="AK18" s="140"/>
      <c r="AL18" s="140"/>
      <c r="AM18" s="140"/>
      <c r="AN18" s="140"/>
      <c r="AO18" s="140"/>
      <c r="AP18" s="140"/>
      <c r="AQ18" s="140"/>
      <c r="AR18" s="140"/>
      <c r="AS18" s="140"/>
      <c r="AT18" s="140"/>
      <c r="AU18" s="140"/>
      <c r="AV18" s="140"/>
      <c r="AW18" s="140"/>
      <c r="AX18" s="140"/>
      <c r="AY18" s="140"/>
      <c r="AZ18" s="140"/>
      <c r="BA18" s="140"/>
      <c r="BB18" s="140"/>
      <c r="BC18" s="140"/>
      <c r="BD18" s="140"/>
      <c r="BE18" s="140"/>
      <c r="BF18" s="140"/>
      <c r="BG18" s="140"/>
      <c r="BH18" s="140"/>
      <c r="BI18" s="140"/>
      <c r="BJ18" s="140"/>
      <c r="BK18" s="129"/>
      <c r="BL18" s="140"/>
      <c r="BM18" s="140"/>
      <c r="BN18" s="140"/>
      <c r="BO18" s="140"/>
      <c r="BP18" s="140"/>
      <c r="BQ18" s="140"/>
      <c r="BR18" s="140"/>
      <c r="BS18" s="140"/>
      <c r="BT18" s="140"/>
      <c r="BU18" s="140"/>
      <c r="BV18" s="140"/>
      <c r="BW18" s="140"/>
      <c r="BX18" s="140"/>
      <c r="BY18" s="140"/>
      <c r="BZ18" s="140"/>
      <c r="CA18" s="140"/>
      <c r="CB18" s="140"/>
      <c r="CC18" s="140"/>
      <c r="CD18" s="140"/>
      <c r="CE18" s="140"/>
      <c r="CF18" s="140"/>
      <c r="CG18" s="140"/>
      <c r="CH18" s="140"/>
      <c r="CI18" s="140"/>
      <c r="CJ18" s="140"/>
      <c r="CK18" s="140"/>
      <c r="CL18" s="140"/>
      <c r="CM18" s="140"/>
      <c r="CN18" s="140"/>
      <c r="CO18" s="140"/>
      <c r="CP18" s="140"/>
      <c r="CQ18" s="140"/>
      <c r="CR18" s="140"/>
      <c r="CS18" s="140"/>
      <c r="CT18" s="140"/>
      <c r="CU18" s="140"/>
      <c r="CV18" s="140"/>
      <c r="CW18" s="140"/>
      <c r="CX18" s="140"/>
      <c r="CY18" s="140"/>
      <c r="CZ18" s="140"/>
      <c r="DA18" s="140"/>
      <c r="DB18" s="140"/>
      <c r="DC18" s="140"/>
      <c r="DD18" s="140"/>
      <c r="DE18" s="140"/>
      <c r="DF18" s="140"/>
      <c r="DG18" s="140"/>
      <c r="DH18" s="140"/>
      <c r="DI18" s="140"/>
      <c r="DJ18" s="140"/>
      <c r="DK18" s="140"/>
      <c r="DL18" s="140"/>
      <c r="DM18" s="140"/>
      <c r="DN18" s="136"/>
      <c r="DO18" s="136"/>
      <c r="DP18" s="136"/>
      <c r="DQ18" s="136"/>
      <c r="DR18" s="140"/>
      <c r="DS18" s="140"/>
      <c r="DT18" s="140"/>
      <c r="DU18" s="140"/>
      <c r="DV18" s="129"/>
      <c r="DW18" s="129"/>
      <c r="DX18" s="129"/>
      <c r="DY18" s="129"/>
      <c r="DZ18" s="140"/>
      <c r="EA18" s="140"/>
      <c r="EB18" s="140"/>
      <c r="EC18" s="140"/>
      <c r="ED18" s="140"/>
      <c r="EE18" s="140"/>
      <c r="EF18" s="140"/>
      <c r="EG18" s="140"/>
      <c r="EH18" s="140"/>
      <c r="EI18" s="140"/>
      <c r="EJ18" s="140"/>
      <c r="EK18" s="140"/>
      <c r="EL18" s="140"/>
      <c r="EM18" s="140"/>
      <c r="EN18" s="140"/>
      <c r="EO18" s="140"/>
      <c r="EP18" s="140"/>
      <c r="EQ18" s="140"/>
      <c r="ER18" s="140"/>
      <c r="ES18" s="175"/>
      <c r="ET18" s="140"/>
      <c r="EU18" s="140"/>
      <c r="EV18" s="175"/>
      <c r="EW18" s="140"/>
      <c r="EX18" s="140"/>
      <c r="EY18" s="175"/>
      <c r="EZ18" s="140"/>
      <c r="FA18" s="140"/>
      <c r="FB18" s="175"/>
      <c r="FC18" s="140"/>
      <c r="FD18" s="140"/>
      <c r="FE18" s="140"/>
      <c r="FF18" s="140"/>
      <c r="FG18" s="140"/>
      <c r="FH18" s="140"/>
      <c r="FI18" s="140"/>
      <c r="FJ18" s="140"/>
      <c r="FK18" s="140"/>
      <c r="FL18" s="140"/>
      <c r="FM18" s="140"/>
      <c r="FN18" s="140"/>
      <c r="FO18" s="140"/>
      <c r="FP18" s="140"/>
      <c r="FQ18" s="140"/>
      <c r="FR18" s="140"/>
      <c r="FS18" s="140"/>
      <c r="FT18" s="140"/>
      <c r="FU18" s="140"/>
      <c r="FV18" s="140"/>
      <c r="FW18" s="140"/>
      <c r="FX18" s="140"/>
      <c r="FY18" s="140"/>
      <c r="FZ18" s="140"/>
      <c r="GA18" s="140"/>
      <c r="GB18" s="140"/>
      <c r="GC18" s="140"/>
      <c r="GD18" s="129"/>
      <c r="GE18" s="140"/>
      <c r="GF18" s="140"/>
      <c r="GG18" s="140"/>
      <c r="GH18" s="140"/>
      <c r="GI18" s="140"/>
      <c r="GJ18" s="140"/>
      <c r="GK18" s="140"/>
      <c r="GL18" s="140"/>
      <c r="GM18" s="64"/>
      <c r="GN18" s="64"/>
      <c r="GO18" s="64"/>
      <c r="GP18" s="64"/>
      <c r="GQ18" s="64"/>
      <c r="GR18" s="64"/>
      <c r="GS18" s="64"/>
      <c r="GT18" s="64"/>
      <c r="GU18" s="64"/>
      <c r="GV18" s="64"/>
      <c r="GW18" s="64"/>
      <c r="GX18" s="64"/>
    </row>
    <row r="19" spans="1:206">
      <c r="A19" s="174"/>
      <c r="B19" s="140"/>
      <c r="C19" s="140"/>
      <c r="D19" s="140"/>
      <c r="E19" s="140"/>
      <c r="F19" s="140"/>
      <c r="G19" s="140"/>
      <c r="H19" s="140"/>
      <c r="I19" s="140"/>
      <c r="J19" s="140"/>
      <c r="K19" s="140"/>
      <c r="L19" s="140"/>
      <c r="M19" s="140"/>
      <c r="N19" s="140"/>
      <c r="O19" s="140"/>
      <c r="P19" s="140"/>
      <c r="Q19" s="140"/>
      <c r="R19" s="140"/>
      <c r="S19" s="140"/>
      <c r="T19" s="140"/>
      <c r="U19" s="140"/>
      <c r="V19" s="140"/>
      <c r="W19" s="140"/>
      <c r="X19" s="140"/>
      <c r="Y19" s="140"/>
      <c r="Z19" s="140"/>
      <c r="AA19" s="140"/>
      <c r="AB19" s="140"/>
      <c r="AC19" s="140"/>
      <c r="AD19" s="140"/>
      <c r="AE19" s="140"/>
      <c r="AF19" s="140"/>
      <c r="AG19" s="68"/>
      <c r="AH19" s="140"/>
      <c r="AI19" s="140"/>
      <c r="AJ19" s="140"/>
      <c r="AK19" s="140"/>
      <c r="AL19" s="140"/>
      <c r="AM19" s="140"/>
      <c r="AN19" s="140"/>
      <c r="AO19" s="140"/>
      <c r="AP19" s="140"/>
      <c r="AQ19" s="140"/>
      <c r="AR19" s="140"/>
      <c r="AS19" s="140"/>
      <c r="AT19" s="140"/>
      <c r="AU19" s="140"/>
      <c r="AV19" s="140"/>
      <c r="AW19" s="140"/>
      <c r="AX19" s="140"/>
      <c r="AY19" s="140"/>
      <c r="AZ19" s="140"/>
      <c r="BA19" s="140"/>
      <c r="BB19" s="140"/>
      <c r="BC19" s="140"/>
      <c r="BD19" s="140"/>
      <c r="BE19" s="140"/>
      <c r="BF19" s="140"/>
      <c r="BG19" s="140"/>
      <c r="BH19" s="140"/>
      <c r="BI19" s="140"/>
      <c r="BJ19" s="140"/>
      <c r="BK19" s="129"/>
      <c r="BL19" s="140"/>
      <c r="BM19" s="140"/>
      <c r="BN19" s="140"/>
      <c r="BO19" s="140"/>
      <c r="BP19" s="140"/>
      <c r="BQ19" s="140"/>
      <c r="BR19" s="140"/>
      <c r="BS19" s="140"/>
      <c r="BT19" s="140"/>
      <c r="BU19" s="140"/>
      <c r="BV19" s="140"/>
      <c r="BW19" s="140"/>
      <c r="BX19" s="140"/>
      <c r="BY19" s="140"/>
      <c r="BZ19" s="140"/>
      <c r="CA19" s="140"/>
      <c r="CB19" s="140"/>
      <c r="CC19" s="140"/>
      <c r="CD19" s="140"/>
      <c r="CE19" s="140"/>
      <c r="CF19" s="140"/>
      <c r="CG19" s="140"/>
      <c r="CH19" s="140"/>
      <c r="CI19" s="140"/>
      <c r="CJ19" s="140"/>
      <c r="CK19" s="140"/>
      <c r="CL19" s="140"/>
      <c r="CM19" s="140"/>
      <c r="CN19" s="140"/>
      <c r="CO19" s="140"/>
      <c r="CP19" s="140"/>
      <c r="CQ19" s="140"/>
      <c r="CR19" s="140"/>
      <c r="CS19" s="140"/>
      <c r="CT19" s="140"/>
      <c r="CU19" s="140"/>
      <c r="CV19" s="140"/>
      <c r="CW19" s="140"/>
      <c r="CX19" s="140"/>
      <c r="CY19" s="140"/>
      <c r="CZ19" s="140"/>
      <c r="DA19" s="140"/>
      <c r="DB19" s="140"/>
      <c r="DC19" s="140"/>
      <c r="DD19" s="140"/>
      <c r="DE19" s="140"/>
      <c r="DF19" s="140"/>
      <c r="DG19" s="140"/>
      <c r="DH19" s="140"/>
      <c r="DI19" s="140"/>
      <c r="DJ19" s="140"/>
      <c r="DK19" s="140"/>
      <c r="DL19" s="140"/>
      <c r="DM19" s="140"/>
      <c r="DN19" s="136"/>
      <c r="DO19" s="136"/>
      <c r="DP19" s="136"/>
      <c r="DQ19" s="136"/>
      <c r="DR19" s="140"/>
      <c r="DS19" s="140"/>
      <c r="DT19" s="140"/>
      <c r="DU19" s="140"/>
      <c r="DV19" s="129"/>
      <c r="DW19" s="129"/>
      <c r="DX19" s="129"/>
      <c r="DY19" s="129"/>
      <c r="DZ19" s="140"/>
      <c r="EA19" s="140"/>
      <c r="EB19" s="140"/>
      <c r="EC19" s="140"/>
      <c r="ED19" s="140"/>
      <c r="EE19" s="140"/>
      <c r="EF19" s="140"/>
      <c r="EG19" s="140"/>
      <c r="EH19" s="140"/>
      <c r="EI19" s="140"/>
      <c r="EJ19" s="140"/>
      <c r="EK19" s="140"/>
      <c r="EL19" s="140"/>
      <c r="EM19" s="140"/>
      <c r="EN19" s="140"/>
      <c r="EO19" s="140"/>
      <c r="EP19" s="140"/>
      <c r="EQ19" s="140"/>
      <c r="ER19" s="140"/>
      <c r="ES19" s="175"/>
      <c r="ET19" s="140"/>
      <c r="EU19" s="140"/>
      <c r="EV19" s="175"/>
      <c r="EW19" s="140"/>
      <c r="EX19" s="140"/>
      <c r="EY19" s="175"/>
      <c r="EZ19" s="140"/>
      <c r="FA19" s="140"/>
      <c r="FB19" s="175"/>
      <c r="FC19" s="140"/>
      <c r="FD19" s="140"/>
      <c r="FE19" s="140"/>
      <c r="FF19" s="140"/>
      <c r="FG19" s="140"/>
      <c r="FH19" s="140"/>
      <c r="FI19" s="140"/>
      <c r="FJ19" s="140"/>
      <c r="FK19" s="140"/>
      <c r="FL19" s="140"/>
      <c r="FM19" s="140"/>
      <c r="FN19" s="140"/>
      <c r="FO19" s="140"/>
      <c r="FP19" s="140"/>
      <c r="FQ19" s="140"/>
      <c r="FR19" s="140"/>
      <c r="FS19" s="140"/>
      <c r="FT19" s="140"/>
      <c r="FU19" s="140"/>
      <c r="FV19" s="140"/>
      <c r="FW19" s="140"/>
      <c r="FX19" s="140"/>
      <c r="FY19" s="140"/>
      <c r="FZ19" s="140"/>
      <c r="GA19" s="140"/>
      <c r="GB19" s="140"/>
      <c r="GC19" s="140"/>
      <c r="GD19" s="129"/>
      <c r="GE19" s="140"/>
      <c r="GF19" s="140"/>
      <c r="GG19" s="140"/>
      <c r="GH19" s="140"/>
      <c r="GI19" s="140"/>
      <c r="GJ19" s="140"/>
      <c r="GK19" s="140"/>
      <c r="GL19" s="140"/>
      <c r="GM19" s="64"/>
      <c r="GN19" s="64"/>
      <c r="GO19" s="64"/>
      <c r="GP19" s="64"/>
      <c r="GQ19" s="64"/>
      <c r="GR19" s="64"/>
      <c r="GS19" s="64"/>
      <c r="GT19" s="64"/>
      <c r="GU19" s="64"/>
      <c r="GV19" s="64"/>
      <c r="GW19" s="64"/>
      <c r="GX19" s="64"/>
    </row>
    <row r="20" spans="1:206">
      <c r="A20" s="174"/>
      <c r="B20" s="140"/>
      <c r="C20" s="140"/>
      <c r="D20" s="140"/>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68"/>
      <c r="AH20" s="140"/>
      <c r="AI20" s="140"/>
      <c r="AJ20" s="140"/>
      <c r="AK20" s="140"/>
      <c r="AL20" s="140"/>
      <c r="AM20" s="140"/>
      <c r="AN20" s="140"/>
      <c r="AO20" s="140"/>
      <c r="AP20" s="140"/>
      <c r="AQ20" s="140"/>
      <c r="AR20" s="140"/>
      <c r="AS20" s="140"/>
      <c r="AT20" s="140"/>
      <c r="AU20" s="140"/>
      <c r="AV20" s="140"/>
      <c r="AW20" s="140"/>
      <c r="AX20" s="140"/>
      <c r="AY20" s="140"/>
      <c r="AZ20" s="140"/>
      <c r="BA20" s="140"/>
      <c r="BB20" s="140"/>
      <c r="BC20" s="140"/>
      <c r="BD20" s="140"/>
      <c r="BE20" s="140"/>
      <c r="BF20" s="140"/>
      <c r="BG20" s="140"/>
      <c r="BH20" s="140"/>
      <c r="BI20" s="140"/>
      <c r="BJ20" s="140"/>
      <c r="BK20" s="129"/>
      <c r="BL20" s="140"/>
      <c r="BM20" s="140"/>
      <c r="BN20" s="140"/>
      <c r="BO20" s="140"/>
      <c r="BP20" s="140"/>
      <c r="BQ20" s="140"/>
      <c r="BR20" s="140"/>
      <c r="BS20" s="140"/>
      <c r="BT20" s="140"/>
      <c r="BU20" s="140"/>
      <c r="BV20" s="140"/>
      <c r="BW20" s="140"/>
      <c r="BX20" s="140"/>
      <c r="BY20" s="140"/>
      <c r="BZ20" s="140"/>
      <c r="CA20" s="140"/>
      <c r="CB20" s="140"/>
      <c r="CC20" s="140"/>
      <c r="CD20" s="140"/>
      <c r="CE20" s="140"/>
      <c r="CF20" s="140"/>
      <c r="CG20" s="140"/>
      <c r="CH20" s="140"/>
      <c r="CI20" s="140"/>
      <c r="CJ20" s="140"/>
      <c r="CK20" s="140"/>
      <c r="CL20" s="140"/>
      <c r="CM20" s="140"/>
      <c r="CN20" s="140"/>
      <c r="CO20" s="140"/>
      <c r="CP20" s="140"/>
      <c r="CQ20" s="140"/>
      <c r="CR20" s="140"/>
      <c r="CS20" s="140"/>
      <c r="CT20" s="140"/>
      <c r="CU20" s="140"/>
      <c r="CV20" s="140"/>
      <c r="CW20" s="140"/>
      <c r="CX20" s="140"/>
      <c r="CY20" s="140"/>
      <c r="CZ20" s="140"/>
      <c r="DA20" s="140"/>
      <c r="DB20" s="140"/>
      <c r="DC20" s="140"/>
      <c r="DD20" s="140"/>
      <c r="DE20" s="140"/>
      <c r="DF20" s="140"/>
      <c r="DG20" s="140"/>
      <c r="DH20" s="140"/>
      <c r="DI20" s="140"/>
      <c r="DJ20" s="140"/>
      <c r="DK20" s="140"/>
      <c r="DL20" s="140"/>
      <c r="DM20" s="140"/>
      <c r="DN20" s="136"/>
      <c r="DO20" s="136"/>
      <c r="DP20" s="136"/>
      <c r="DQ20" s="136"/>
      <c r="DR20" s="140"/>
      <c r="DS20" s="140"/>
      <c r="DT20" s="140"/>
      <c r="DU20" s="140"/>
      <c r="DV20" s="129"/>
      <c r="DW20" s="129"/>
      <c r="DX20" s="129"/>
      <c r="DY20" s="129"/>
      <c r="DZ20" s="140"/>
      <c r="EA20" s="140"/>
      <c r="EB20" s="140"/>
      <c r="EC20" s="140"/>
      <c r="ED20" s="140"/>
      <c r="EE20" s="140"/>
      <c r="EF20" s="140"/>
      <c r="EG20" s="140"/>
      <c r="EH20" s="140"/>
      <c r="EI20" s="140"/>
      <c r="EJ20" s="140"/>
      <c r="EK20" s="140"/>
      <c r="EL20" s="140"/>
      <c r="EM20" s="140"/>
      <c r="EN20" s="140"/>
      <c r="EO20" s="140"/>
      <c r="EP20" s="140"/>
      <c r="EQ20" s="140"/>
      <c r="ER20" s="140"/>
      <c r="ES20" s="175"/>
      <c r="ET20" s="140"/>
      <c r="EU20" s="140"/>
      <c r="EV20" s="175"/>
      <c r="EW20" s="140"/>
      <c r="EX20" s="140"/>
      <c r="EY20" s="175"/>
      <c r="EZ20" s="140"/>
      <c r="FA20" s="140"/>
      <c r="FB20" s="175"/>
      <c r="FC20" s="140"/>
      <c r="FD20" s="140"/>
      <c r="FE20" s="140"/>
      <c r="FF20" s="140"/>
      <c r="FG20" s="140"/>
      <c r="FH20" s="140"/>
      <c r="FI20" s="140"/>
      <c r="FJ20" s="140"/>
      <c r="FK20" s="140"/>
      <c r="FL20" s="140"/>
      <c r="FM20" s="140"/>
      <c r="FN20" s="140"/>
      <c r="FO20" s="140"/>
      <c r="FP20" s="140"/>
      <c r="FQ20" s="140"/>
      <c r="FR20" s="140"/>
      <c r="FS20" s="140"/>
      <c r="FT20" s="140"/>
      <c r="FU20" s="140"/>
      <c r="FV20" s="140"/>
      <c r="FW20" s="140"/>
      <c r="FX20" s="140"/>
      <c r="FY20" s="140"/>
      <c r="FZ20" s="140"/>
      <c r="GA20" s="140"/>
      <c r="GB20" s="140"/>
      <c r="GC20" s="140"/>
      <c r="GD20" s="129"/>
      <c r="GE20" s="140"/>
      <c r="GF20" s="140"/>
      <c r="GG20" s="140"/>
      <c r="GH20" s="140"/>
      <c r="GI20" s="140"/>
      <c r="GJ20" s="140"/>
      <c r="GK20" s="140"/>
      <c r="GL20" s="140"/>
      <c r="GM20" s="64"/>
      <c r="GN20" s="64"/>
      <c r="GO20" s="64"/>
      <c r="GP20" s="64"/>
      <c r="GQ20" s="64"/>
      <c r="GR20" s="64"/>
      <c r="GS20" s="64"/>
      <c r="GT20" s="64"/>
      <c r="GU20" s="64"/>
      <c r="GV20" s="64"/>
      <c r="GW20" s="64"/>
      <c r="GX20" s="64"/>
    </row>
    <row r="21" spans="1:206">
      <c r="A21" s="174"/>
      <c r="B21" s="140"/>
      <c r="C21" s="140"/>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68"/>
      <c r="AH21" s="140"/>
      <c r="AI21" s="140"/>
      <c r="AJ21" s="140"/>
      <c r="AK21" s="140"/>
      <c r="AL21" s="140"/>
      <c r="AM21" s="140"/>
      <c r="AN21" s="140"/>
      <c r="AO21" s="140"/>
      <c r="AP21" s="140"/>
      <c r="AQ21" s="140"/>
      <c r="AR21" s="140"/>
      <c r="AS21" s="140"/>
      <c r="AT21" s="140"/>
      <c r="AU21" s="140"/>
      <c r="AV21" s="140"/>
      <c r="AW21" s="140"/>
      <c r="AX21" s="140"/>
      <c r="AY21" s="140"/>
      <c r="AZ21" s="140"/>
      <c r="BA21" s="140"/>
      <c r="BB21" s="140"/>
      <c r="BC21" s="140"/>
      <c r="BD21" s="140"/>
      <c r="BE21" s="140"/>
      <c r="BF21" s="140"/>
      <c r="BG21" s="140"/>
      <c r="BH21" s="140"/>
      <c r="BI21" s="140"/>
      <c r="BJ21" s="140"/>
      <c r="BK21" s="129"/>
      <c r="BL21" s="140"/>
      <c r="BM21" s="140"/>
      <c r="BN21" s="140"/>
      <c r="BO21" s="140"/>
      <c r="BP21" s="140"/>
      <c r="BQ21" s="140"/>
      <c r="BR21" s="140"/>
      <c r="BS21" s="140"/>
      <c r="BT21" s="140"/>
      <c r="BU21" s="140"/>
      <c r="BV21" s="140"/>
      <c r="BW21" s="140"/>
      <c r="BX21" s="140"/>
      <c r="BY21" s="140"/>
      <c r="BZ21" s="140"/>
      <c r="CA21" s="140"/>
      <c r="CB21" s="140"/>
      <c r="CC21" s="140"/>
      <c r="CD21" s="140"/>
      <c r="CE21" s="140"/>
      <c r="CF21" s="140"/>
      <c r="CG21" s="140"/>
      <c r="CH21" s="140"/>
      <c r="CI21" s="140"/>
      <c r="CJ21" s="140"/>
      <c r="CK21" s="140"/>
      <c r="CL21" s="140"/>
      <c r="CM21" s="140"/>
      <c r="CN21" s="140"/>
      <c r="CO21" s="140"/>
      <c r="CP21" s="140"/>
      <c r="CQ21" s="140"/>
      <c r="CR21" s="140"/>
      <c r="CS21" s="140"/>
      <c r="CT21" s="140"/>
      <c r="CU21" s="140"/>
      <c r="CV21" s="140"/>
      <c r="CW21" s="140"/>
      <c r="CX21" s="140"/>
      <c r="CY21" s="140"/>
      <c r="CZ21" s="140"/>
      <c r="DA21" s="140"/>
      <c r="DB21" s="140"/>
      <c r="DC21" s="140"/>
      <c r="DD21" s="140"/>
      <c r="DE21" s="140"/>
      <c r="DF21" s="140"/>
      <c r="DG21" s="140"/>
      <c r="DH21" s="140"/>
      <c r="DI21" s="140"/>
      <c r="DJ21" s="140"/>
      <c r="DK21" s="140"/>
      <c r="DL21" s="140"/>
      <c r="DM21" s="140"/>
      <c r="DN21" s="136"/>
      <c r="DO21" s="136"/>
      <c r="DP21" s="136"/>
      <c r="DQ21" s="136"/>
      <c r="DR21" s="140"/>
      <c r="DS21" s="140"/>
      <c r="DT21" s="140"/>
      <c r="DU21" s="140"/>
      <c r="DV21" s="129"/>
      <c r="DW21" s="129"/>
      <c r="DX21" s="129"/>
      <c r="DY21" s="129"/>
      <c r="DZ21" s="140"/>
      <c r="EA21" s="140"/>
      <c r="EB21" s="140"/>
      <c r="EC21" s="140"/>
      <c r="ED21" s="140"/>
      <c r="EE21" s="140"/>
      <c r="EF21" s="140"/>
      <c r="EG21" s="140"/>
      <c r="EH21" s="140"/>
      <c r="EI21" s="140"/>
      <c r="EJ21" s="140"/>
      <c r="EK21" s="140"/>
      <c r="EL21" s="140"/>
      <c r="EM21" s="140"/>
      <c r="EN21" s="140"/>
      <c r="EO21" s="140"/>
      <c r="EP21" s="140"/>
      <c r="EQ21" s="140"/>
      <c r="ER21" s="140"/>
      <c r="ES21" s="175"/>
      <c r="ET21" s="140"/>
      <c r="EU21" s="140"/>
      <c r="EV21" s="175"/>
      <c r="EW21" s="140"/>
      <c r="EX21" s="140"/>
      <c r="EY21" s="175"/>
      <c r="EZ21" s="140"/>
      <c r="FA21" s="140"/>
      <c r="FB21" s="175"/>
      <c r="FC21" s="140"/>
      <c r="FD21" s="140"/>
      <c r="FE21" s="140"/>
      <c r="FF21" s="140"/>
      <c r="FG21" s="140"/>
      <c r="FH21" s="140"/>
      <c r="FI21" s="140"/>
      <c r="FJ21" s="140"/>
      <c r="FK21" s="140"/>
      <c r="FL21" s="140"/>
      <c r="FM21" s="140"/>
      <c r="FN21" s="140"/>
      <c r="FO21" s="140"/>
      <c r="FP21" s="140"/>
      <c r="FQ21" s="140"/>
      <c r="FR21" s="140"/>
      <c r="FS21" s="140"/>
      <c r="FT21" s="140"/>
      <c r="FU21" s="140"/>
      <c r="FV21" s="140"/>
      <c r="FW21" s="140"/>
      <c r="FX21" s="140"/>
      <c r="FY21" s="140"/>
      <c r="FZ21" s="140"/>
      <c r="GA21" s="140"/>
      <c r="GB21" s="140"/>
      <c r="GC21" s="140"/>
      <c r="GD21" s="129"/>
      <c r="GE21" s="140"/>
      <c r="GF21" s="140"/>
      <c r="GG21" s="140"/>
      <c r="GH21" s="140"/>
      <c r="GI21" s="140"/>
      <c r="GJ21" s="140"/>
      <c r="GK21" s="140"/>
      <c r="GL21" s="140"/>
      <c r="GM21" s="64"/>
      <c r="GN21" s="64"/>
      <c r="GO21" s="64"/>
      <c r="GP21" s="64"/>
      <c r="GQ21" s="64"/>
      <c r="GR21" s="64"/>
      <c r="GS21" s="64"/>
      <c r="GT21" s="64"/>
      <c r="GU21" s="64"/>
      <c r="GV21" s="64"/>
      <c r="GW21" s="64"/>
      <c r="GX21" s="64"/>
    </row>
    <row r="22" spans="1:206">
      <c r="A22" s="174"/>
      <c r="B22" s="140"/>
      <c r="C22" s="140"/>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68"/>
      <c r="AH22" s="140"/>
      <c r="AI22" s="140"/>
      <c r="AJ22" s="140"/>
      <c r="AK22" s="140"/>
      <c r="AL22" s="140"/>
      <c r="AM22" s="140"/>
      <c r="AN22" s="140"/>
      <c r="AO22" s="140"/>
      <c r="AP22" s="140"/>
      <c r="AQ22" s="140"/>
      <c r="AR22" s="140"/>
      <c r="AS22" s="140"/>
      <c r="AT22" s="140"/>
      <c r="AU22" s="140"/>
      <c r="AV22" s="140"/>
      <c r="AW22" s="140"/>
      <c r="AX22" s="140"/>
      <c r="AY22" s="140"/>
      <c r="AZ22" s="140"/>
      <c r="BA22" s="140"/>
      <c r="BB22" s="140"/>
      <c r="BC22" s="140"/>
      <c r="BD22" s="140"/>
      <c r="BE22" s="140"/>
      <c r="BF22" s="140"/>
      <c r="BG22" s="140"/>
      <c r="BH22" s="140"/>
      <c r="BI22" s="140"/>
      <c r="BJ22" s="140"/>
      <c r="BK22" s="129"/>
      <c r="BL22" s="140"/>
      <c r="BM22" s="140"/>
      <c r="BN22" s="140"/>
      <c r="BO22" s="140"/>
      <c r="BP22" s="140"/>
      <c r="BQ22" s="140"/>
      <c r="BR22" s="140"/>
      <c r="BS22" s="140"/>
      <c r="BT22" s="140"/>
      <c r="BU22" s="140"/>
      <c r="BV22" s="140"/>
      <c r="BW22" s="140"/>
      <c r="BX22" s="140"/>
      <c r="BY22" s="140"/>
      <c r="BZ22" s="140"/>
      <c r="CA22" s="140"/>
      <c r="CB22" s="140"/>
      <c r="CC22" s="140"/>
      <c r="CD22" s="140"/>
      <c r="CE22" s="140"/>
      <c r="CF22" s="140"/>
      <c r="CG22" s="140"/>
      <c r="CH22" s="140"/>
      <c r="CI22" s="140"/>
      <c r="CJ22" s="140"/>
      <c r="CK22" s="140"/>
      <c r="CL22" s="140"/>
      <c r="CM22" s="140"/>
      <c r="CN22" s="140"/>
      <c r="CO22" s="140"/>
      <c r="CP22" s="140"/>
      <c r="CQ22" s="140"/>
      <c r="CR22" s="140"/>
      <c r="CS22" s="140"/>
      <c r="CT22" s="140"/>
      <c r="CU22" s="140"/>
      <c r="CV22" s="140"/>
      <c r="CW22" s="140"/>
      <c r="CX22" s="140"/>
      <c r="CY22" s="140"/>
      <c r="CZ22" s="140"/>
      <c r="DA22" s="140"/>
      <c r="DB22" s="140"/>
      <c r="DC22" s="140"/>
      <c r="DD22" s="140"/>
      <c r="DE22" s="140"/>
      <c r="DF22" s="140"/>
      <c r="DG22" s="140"/>
      <c r="DH22" s="140"/>
      <c r="DI22" s="140"/>
      <c r="DJ22" s="140"/>
      <c r="DK22" s="140"/>
      <c r="DL22" s="140"/>
      <c r="DM22" s="140"/>
      <c r="DN22" s="136"/>
      <c r="DO22" s="136"/>
      <c r="DP22" s="136"/>
      <c r="DQ22" s="136"/>
      <c r="DR22" s="140"/>
      <c r="DS22" s="140"/>
      <c r="DT22" s="140"/>
      <c r="DU22" s="140"/>
      <c r="DV22" s="129"/>
      <c r="DW22" s="129"/>
      <c r="DX22" s="129"/>
      <c r="DY22" s="129"/>
      <c r="DZ22" s="140"/>
      <c r="EA22" s="140"/>
      <c r="EB22" s="140"/>
      <c r="EC22" s="140"/>
      <c r="ED22" s="140"/>
      <c r="EE22" s="140"/>
      <c r="EF22" s="140"/>
      <c r="EG22" s="140"/>
      <c r="EH22" s="140"/>
      <c r="EI22" s="140"/>
      <c r="EJ22" s="140"/>
      <c r="EK22" s="140"/>
      <c r="EL22" s="140"/>
      <c r="EM22" s="140"/>
      <c r="EN22" s="140"/>
      <c r="EO22" s="140"/>
      <c r="EP22" s="140"/>
      <c r="EQ22" s="140"/>
      <c r="ER22" s="140"/>
      <c r="ES22" s="175"/>
      <c r="ET22" s="140"/>
      <c r="EU22" s="140"/>
      <c r="EV22" s="175"/>
      <c r="EW22" s="140"/>
      <c r="EX22" s="140"/>
      <c r="EY22" s="175"/>
      <c r="EZ22" s="140"/>
      <c r="FA22" s="140"/>
      <c r="FB22" s="175"/>
      <c r="FC22" s="140"/>
      <c r="FD22" s="140"/>
      <c r="FE22" s="140"/>
      <c r="FF22" s="140"/>
      <c r="FG22" s="140"/>
      <c r="FH22" s="140"/>
      <c r="FI22" s="140"/>
      <c r="FJ22" s="140"/>
      <c r="FK22" s="140"/>
      <c r="FL22" s="140"/>
      <c r="FM22" s="140"/>
      <c r="FN22" s="140"/>
      <c r="FO22" s="140"/>
      <c r="FP22" s="140"/>
      <c r="FQ22" s="140"/>
      <c r="FR22" s="140"/>
      <c r="FS22" s="140"/>
      <c r="FT22" s="140"/>
      <c r="FU22" s="140"/>
      <c r="FV22" s="140"/>
      <c r="FW22" s="140"/>
      <c r="FX22" s="140"/>
      <c r="FY22" s="140"/>
      <c r="FZ22" s="140"/>
      <c r="GA22" s="140"/>
      <c r="GB22" s="140"/>
      <c r="GC22" s="140"/>
      <c r="GD22" s="129"/>
      <c r="GE22" s="140"/>
      <c r="GF22" s="140"/>
      <c r="GG22" s="140"/>
      <c r="GH22" s="140"/>
      <c r="GI22" s="140"/>
      <c r="GJ22" s="140"/>
      <c r="GK22" s="140"/>
      <c r="GL22" s="140"/>
      <c r="GM22" s="64"/>
      <c r="GN22" s="64"/>
      <c r="GO22" s="64"/>
      <c r="GP22" s="64"/>
      <c r="GQ22" s="64"/>
      <c r="GR22" s="64"/>
      <c r="GS22" s="64"/>
      <c r="GT22" s="64"/>
      <c r="GU22" s="64"/>
      <c r="GV22" s="64"/>
      <c r="GW22" s="64"/>
      <c r="GX22" s="64"/>
    </row>
    <row r="23" spans="1:206">
      <c r="A23" s="174"/>
      <c r="B23" s="140"/>
      <c r="C23" s="140"/>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68"/>
      <c r="AH23" s="140"/>
      <c r="AI23" s="140"/>
      <c r="AJ23" s="140"/>
      <c r="AK23" s="140"/>
      <c r="AL23" s="140"/>
      <c r="AM23" s="140"/>
      <c r="AN23" s="140"/>
      <c r="AO23" s="140"/>
      <c r="AP23" s="140"/>
      <c r="AQ23" s="140"/>
      <c r="AR23" s="140"/>
      <c r="AS23" s="140"/>
      <c r="AT23" s="140"/>
      <c r="AU23" s="140"/>
      <c r="AV23" s="140"/>
      <c r="AW23" s="140"/>
      <c r="AX23" s="140"/>
      <c r="AY23" s="140"/>
      <c r="AZ23" s="140"/>
      <c r="BA23" s="140"/>
      <c r="BB23" s="140"/>
      <c r="BC23" s="140"/>
      <c r="BD23" s="140"/>
      <c r="BE23" s="140"/>
      <c r="BF23" s="140"/>
      <c r="BG23" s="140"/>
      <c r="BH23" s="140"/>
      <c r="BI23" s="140"/>
      <c r="BJ23" s="140"/>
      <c r="BK23" s="129"/>
      <c r="BL23" s="140"/>
      <c r="BM23" s="140"/>
      <c r="BN23" s="140"/>
      <c r="BO23" s="140"/>
      <c r="BP23" s="140"/>
      <c r="BQ23" s="140"/>
      <c r="BR23" s="140"/>
      <c r="BS23" s="140"/>
      <c r="BT23" s="140"/>
      <c r="BU23" s="140"/>
      <c r="BV23" s="140"/>
      <c r="BW23" s="140"/>
      <c r="BX23" s="140"/>
      <c r="BY23" s="140"/>
      <c r="BZ23" s="140"/>
      <c r="CA23" s="140"/>
      <c r="CB23" s="140"/>
      <c r="CC23" s="140"/>
      <c r="CD23" s="140"/>
      <c r="CE23" s="140"/>
      <c r="CF23" s="140"/>
      <c r="CG23" s="140"/>
      <c r="CH23" s="140"/>
      <c r="CI23" s="140"/>
      <c r="CJ23" s="140"/>
      <c r="CK23" s="140"/>
      <c r="CL23" s="140"/>
      <c r="CM23" s="140"/>
      <c r="CN23" s="140"/>
      <c r="CO23" s="140"/>
      <c r="CP23" s="140"/>
      <c r="CQ23" s="140"/>
      <c r="CR23" s="140"/>
      <c r="CS23" s="140"/>
      <c r="CT23" s="140"/>
      <c r="CU23" s="140"/>
      <c r="CV23" s="140"/>
      <c r="CW23" s="140"/>
      <c r="CX23" s="140"/>
      <c r="CY23" s="140"/>
      <c r="CZ23" s="140"/>
      <c r="DA23" s="140"/>
      <c r="DB23" s="140"/>
      <c r="DC23" s="140"/>
      <c r="DD23" s="140"/>
      <c r="DE23" s="140"/>
      <c r="DF23" s="140"/>
      <c r="DG23" s="140"/>
      <c r="DH23" s="140"/>
      <c r="DI23" s="140"/>
      <c r="DJ23" s="140"/>
      <c r="DK23" s="140"/>
      <c r="DL23" s="140"/>
      <c r="DM23" s="140"/>
      <c r="DN23" s="136"/>
      <c r="DO23" s="136"/>
      <c r="DP23" s="136"/>
      <c r="DQ23" s="136"/>
      <c r="DR23" s="140"/>
      <c r="DS23" s="140"/>
      <c r="DT23" s="140"/>
      <c r="DU23" s="140"/>
      <c r="DV23" s="129"/>
      <c r="DW23" s="129"/>
      <c r="DX23" s="129"/>
      <c r="DY23" s="129"/>
      <c r="DZ23" s="140"/>
      <c r="EA23" s="140"/>
      <c r="EB23" s="140"/>
      <c r="EC23" s="140"/>
      <c r="ED23" s="140"/>
      <c r="EE23" s="140"/>
      <c r="EF23" s="140"/>
      <c r="EG23" s="140"/>
      <c r="EH23" s="140"/>
      <c r="EI23" s="140"/>
      <c r="EJ23" s="140"/>
      <c r="EK23" s="140"/>
      <c r="EL23" s="140"/>
      <c r="EM23" s="140"/>
      <c r="EN23" s="140"/>
      <c r="EO23" s="140"/>
      <c r="EP23" s="140"/>
      <c r="EQ23" s="140"/>
      <c r="ER23" s="140"/>
      <c r="ES23" s="175"/>
      <c r="ET23" s="140"/>
      <c r="EU23" s="140"/>
      <c r="EV23" s="175"/>
      <c r="EW23" s="140"/>
      <c r="EX23" s="140"/>
      <c r="EY23" s="175"/>
      <c r="EZ23" s="140"/>
      <c r="FA23" s="140"/>
      <c r="FB23" s="175"/>
      <c r="FC23" s="140"/>
      <c r="FD23" s="140"/>
      <c r="FE23" s="140"/>
      <c r="FF23" s="140"/>
      <c r="FG23" s="140"/>
      <c r="FH23" s="140"/>
      <c r="FI23" s="140"/>
      <c r="FJ23" s="140"/>
      <c r="FK23" s="140"/>
      <c r="FL23" s="140"/>
      <c r="FM23" s="140"/>
      <c r="FN23" s="140"/>
      <c r="FO23" s="140"/>
      <c r="FP23" s="140"/>
      <c r="FQ23" s="140"/>
      <c r="FR23" s="140"/>
      <c r="FS23" s="140"/>
      <c r="FT23" s="140"/>
      <c r="FU23" s="140"/>
      <c r="FV23" s="140"/>
      <c r="FW23" s="140"/>
      <c r="FX23" s="140"/>
      <c r="FY23" s="140"/>
      <c r="FZ23" s="140"/>
      <c r="GA23" s="140"/>
      <c r="GB23" s="140"/>
      <c r="GC23" s="140"/>
      <c r="GD23" s="129"/>
      <c r="GE23" s="140"/>
      <c r="GF23" s="140"/>
      <c r="GG23" s="140"/>
      <c r="GH23" s="140"/>
      <c r="GI23" s="140"/>
      <c r="GJ23" s="140"/>
      <c r="GK23" s="140"/>
      <c r="GL23" s="140"/>
      <c r="GM23" s="64"/>
      <c r="GN23" s="64"/>
      <c r="GO23" s="64"/>
      <c r="GP23" s="64"/>
      <c r="GQ23" s="64"/>
      <c r="GR23" s="64"/>
      <c r="GS23" s="64"/>
      <c r="GT23" s="64"/>
      <c r="GU23" s="64"/>
      <c r="GV23" s="64"/>
      <c r="GW23" s="64"/>
      <c r="GX23" s="64"/>
    </row>
    <row r="24" spans="1:206">
      <c r="A24" s="174"/>
      <c r="B24" s="140"/>
      <c r="C24" s="140"/>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68"/>
      <c r="AH24" s="140"/>
      <c r="AI24" s="140"/>
      <c r="AJ24" s="140"/>
      <c r="AK24" s="140"/>
      <c r="AL24" s="140"/>
      <c r="AM24" s="140"/>
      <c r="AN24" s="140"/>
      <c r="AO24" s="140"/>
      <c r="AP24" s="140"/>
      <c r="AQ24" s="140"/>
      <c r="AR24" s="140"/>
      <c r="AS24" s="140"/>
      <c r="AT24" s="140"/>
      <c r="AU24" s="140"/>
      <c r="AV24" s="140"/>
      <c r="AW24" s="140"/>
      <c r="AX24" s="140"/>
      <c r="AY24" s="140"/>
      <c r="AZ24" s="140"/>
      <c r="BA24" s="140"/>
      <c r="BB24" s="140"/>
      <c r="BC24" s="140"/>
      <c r="BD24" s="140"/>
      <c r="BE24" s="140"/>
      <c r="BF24" s="140"/>
      <c r="BG24" s="140"/>
      <c r="BH24" s="140"/>
      <c r="BI24" s="140"/>
      <c r="BJ24" s="140"/>
      <c r="BK24" s="129"/>
      <c r="BL24" s="140"/>
      <c r="BM24" s="140"/>
      <c r="BN24" s="140"/>
      <c r="BO24" s="140"/>
      <c r="BP24" s="140"/>
      <c r="BQ24" s="140"/>
      <c r="BR24" s="140"/>
      <c r="BS24" s="140"/>
      <c r="BT24" s="140"/>
      <c r="BU24" s="140"/>
      <c r="BV24" s="140"/>
      <c r="BW24" s="140"/>
      <c r="BX24" s="140"/>
      <c r="BY24" s="140"/>
      <c r="BZ24" s="140"/>
      <c r="CA24" s="140"/>
      <c r="CB24" s="140"/>
      <c r="CC24" s="140"/>
      <c r="CD24" s="140"/>
      <c r="CE24" s="140"/>
      <c r="CF24" s="140"/>
      <c r="CG24" s="140"/>
      <c r="CH24" s="140"/>
      <c r="CI24" s="140"/>
      <c r="CJ24" s="140"/>
      <c r="CK24" s="140"/>
      <c r="CL24" s="140"/>
      <c r="CM24" s="140"/>
      <c r="CN24" s="140"/>
      <c r="CO24" s="140"/>
      <c r="CP24" s="140"/>
      <c r="CQ24" s="140"/>
      <c r="CR24" s="140"/>
      <c r="CS24" s="140"/>
      <c r="CT24" s="140"/>
      <c r="CU24" s="140"/>
      <c r="CV24" s="140"/>
      <c r="CW24" s="140"/>
      <c r="CX24" s="140"/>
      <c r="CY24" s="140"/>
      <c r="CZ24" s="140"/>
      <c r="DA24" s="140"/>
      <c r="DB24" s="140"/>
      <c r="DC24" s="140"/>
      <c r="DD24" s="140"/>
      <c r="DE24" s="140"/>
      <c r="DF24" s="140"/>
      <c r="DG24" s="140"/>
      <c r="DH24" s="140"/>
      <c r="DI24" s="140"/>
      <c r="DJ24" s="140"/>
      <c r="DK24" s="140"/>
      <c r="DL24" s="140"/>
      <c r="DM24" s="140"/>
      <c r="DN24" s="136"/>
      <c r="DO24" s="136"/>
      <c r="DP24" s="136"/>
      <c r="DQ24" s="136"/>
      <c r="DR24" s="140"/>
      <c r="DS24" s="140"/>
      <c r="DT24" s="140"/>
      <c r="DU24" s="140"/>
      <c r="DV24" s="129"/>
      <c r="DW24" s="129"/>
      <c r="DX24" s="129"/>
      <c r="DY24" s="129"/>
      <c r="DZ24" s="140"/>
      <c r="EA24" s="140"/>
      <c r="EB24" s="140"/>
      <c r="EC24" s="140"/>
      <c r="ED24" s="140"/>
      <c r="EE24" s="140"/>
      <c r="EF24" s="140"/>
      <c r="EG24" s="140"/>
      <c r="EH24" s="140"/>
      <c r="EI24" s="140"/>
      <c r="EJ24" s="140"/>
      <c r="EK24" s="140"/>
      <c r="EL24" s="140"/>
      <c r="EM24" s="140"/>
      <c r="EN24" s="140"/>
      <c r="EO24" s="140"/>
      <c r="EP24" s="140"/>
      <c r="EQ24" s="140"/>
      <c r="ER24" s="140"/>
      <c r="ES24" s="175"/>
      <c r="ET24" s="140"/>
      <c r="EU24" s="140"/>
      <c r="EV24" s="175"/>
      <c r="EW24" s="140"/>
      <c r="EX24" s="140"/>
      <c r="EY24" s="175"/>
      <c r="EZ24" s="140"/>
      <c r="FA24" s="140"/>
      <c r="FB24" s="175"/>
      <c r="FC24" s="140"/>
      <c r="FD24" s="140"/>
      <c r="FE24" s="140"/>
      <c r="FF24" s="140"/>
      <c r="FG24" s="140"/>
      <c r="FH24" s="140"/>
      <c r="FI24" s="140"/>
      <c r="FJ24" s="140"/>
      <c r="FK24" s="140"/>
      <c r="FL24" s="140"/>
      <c r="FM24" s="140"/>
      <c r="FN24" s="140"/>
      <c r="FO24" s="140"/>
      <c r="FP24" s="140"/>
      <c r="FQ24" s="140"/>
      <c r="FR24" s="140"/>
      <c r="FS24" s="140"/>
      <c r="FT24" s="140"/>
      <c r="FU24" s="140"/>
      <c r="FV24" s="140"/>
      <c r="FW24" s="140"/>
      <c r="FX24" s="140"/>
      <c r="FY24" s="140"/>
      <c r="FZ24" s="140"/>
      <c r="GA24" s="140"/>
      <c r="GB24" s="140"/>
      <c r="GC24" s="140"/>
      <c r="GD24" s="129"/>
      <c r="GE24" s="140"/>
      <c r="GF24" s="140"/>
      <c r="GG24" s="140"/>
      <c r="GH24" s="140"/>
      <c r="GI24" s="140"/>
      <c r="GJ24" s="140"/>
      <c r="GK24" s="140"/>
      <c r="GL24" s="140"/>
      <c r="GM24" s="64"/>
      <c r="GN24" s="64"/>
      <c r="GO24" s="64"/>
      <c r="GP24" s="64"/>
      <c r="GQ24" s="64"/>
      <c r="GR24" s="64"/>
      <c r="GS24" s="64"/>
      <c r="GT24" s="64"/>
      <c r="GU24" s="64"/>
      <c r="GV24" s="64"/>
      <c r="GW24" s="64"/>
      <c r="GX24" s="64"/>
    </row>
    <row r="25" spans="1:206">
      <c r="A25" s="174"/>
      <c r="B25" s="140"/>
      <c r="C25" s="140"/>
      <c r="D25" s="140"/>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68"/>
      <c r="AH25" s="140"/>
      <c r="AI25" s="140"/>
      <c r="AJ25" s="140"/>
      <c r="AK25" s="140"/>
      <c r="AL25" s="140"/>
      <c r="AM25" s="140"/>
      <c r="AN25" s="140"/>
      <c r="AO25" s="140"/>
      <c r="AP25" s="140"/>
      <c r="AQ25" s="140"/>
      <c r="AR25" s="140"/>
      <c r="AS25" s="140"/>
      <c r="AT25" s="140"/>
      <c r="AU25" s="140"/>
      <c r="AV25" s="140"/>
      <c r="AW25" s="140"/>
      <c r="AX25" s="140"/>
      <c r="AY25" s="140"/>
      <c r="AZ25" s="140"/>
      <c r="BA25" s="140"/>
      <c r="BB25" s="140"/>
      <c r="BC25" s="140"/>
      <c r="BD25" s="140"/>
      <c r="BE25" s="140"/>
      <c r="BF25" s="140"/>
      <c r="BG25" s="140"/>
      <c r="BH25" s="140"/>
      <c r="BI25" s="140"/>
      <c r="BJ25" s="140"/>
      <c r="BK25" s="129"/>
      <c r="BL25" s="140"/>
      <c r="BM25" s="140"/>
      <c r="BN25" s="140"/>
      <c r="BO25" s="140"/>
      <c r="BP25" s="140"/>
      <c r="BQ25" s="140"/>
      <c r="BR25" s="140"/>
      <c r="BS25" s="140"/>
      <c r="BT25" s="140"/>
      <c r="BU25" s="140"/>
      <c r="BV25" s="140"/>
      <c r="BW25" s="140"/>
      <c r="BX25" s="140"/>
      <c r="BY25" s="140"/>
      <c r="BZ25" s="140"/>
      <c r="CA25" s="140"/>
      <c r="CB25" s="140"/>
      <c r="CC25" s="140"/>
      <c r="CD25" s="140"/>
      <c r="CE25" s="140"/>
      <c r="CF25" s="140"/>
      <c r="CG25" s="140"/>
      <c r="CH25" s="140"/>
      <c r="CI25" s="140"/>
      <c r="CJ25" s="140"/>
      <c r="CK25" s="140"/>
      <c r="CL25" s="140"/>
      <c r="CM25" s="140"/>
      <c r="CN25" s="140"/>
      <c r="CO25" s="140"/>
      <c r="CP25" s="140"/>
      <c r="CQ25" s="140"/>
      <c r="CR25" s="140"/>
      <c r="CS25" s="140"/>
      <c r="CT25" s="140"/>
      <c r="CU25" s="140"/>
      <c r="CV25" s="140"/>
      <c r="CW25" s="140"/>
      <c r="CX25" s="140"/>
      <c r="CY25" s="140"/>
      <c r="CZ25" s="140"/>
      <c r="DA25" s="140"/>
      <c r="DB25" s="140"/>
      <c r="DC25" s="140"/>
      <c r="DD25" s="140"/>
      <c r="DE25" s="140"/>
      <c r="DF25" s="140"/>
      <c r="DG25" s="140"/>
      <c r="DH25" s="140"/>
      <c r="DI25" s="140"/>
      <c r="DJ25" s="140"/>
      <c r="DK25" s="140"/>
      <c r="DL25" s="140"/>
      <c r="DM25" s="140"/>
      <c r="DN25" s="136"/>
      <c r="DO25" s="136"/>
      <c r="DP25" s="136"/>
      <c r="DQ25" s="136"/>
      <c r="DR25" s="140"/>
      <c r="DS25" s="140"/>
      <c r="DT25" s="140"/>
      <c r="DU25" s="140"/>
      <c r="DV25" s="129"/>
      <c r="DW25" s="129"/>
      <c r="DX25" s="129"/>
      <c r="DY25" s="129"/>
      <c r="DZ25" s="140"/>
      <c r="EA25" s="140"/>
      <c r="EB25" s="140"/>
      <c r="EC25" s="140"/>
      <c r="ED25" s="140"/>
      <c r="EE25" s="140"/>
      <c r="EF25" s="140"/>
      <c r="EG25" s="140"/>
      <c r="EH25" s="140"/>
      <c r="EI25" s="140"/>
      <c r="EJ25" s="140"/>
      <c r="EK25" s="140"/>
      <c r="EL25" s="140"/>
      <c r="EM25" s="140"/>
      <c r="EN25" s="140"/>
      <c r="EO25" s="140"/>
      <c r="EP25" s="140"/>
      <c r="EQ25" s="140"/>
      <c r="ER25" s="140"/>
      <c r="ES25" s="175"/>
      <c r="ET25" s="140"/>
      <c r="EU25" s="140"/>
      <c r="EV25" s="175"/>
      <c r="EW25" s="140"/>
      <c r="EX25" s="140"/>
      <c r="EY25" s="175"/>
      <c r="EZ25" s="140"/>
      <c r="FA25" s="140"/>
      <c r="FB25" s="175"/>
      <c r="FC25" s="140"/>
      <c r="FD25" s="140"/>
      <c r="FE25" s="140"/>
      <c r="FF25" s="140"/>
      <c r="FG25" s="140"/>
      <c r="FH25" s="140"/>
      <c r="FI25" s="140"/>
      <c r="FJ25" s="140"/>
      <c r="FK25" s="140"/>
      <c r="FL25" s="140"/>
      <c r="FM25" s="140"/>
      <c r="FN25" s="140"/>
      <c r="FO25" s="140"/>
      <c r="FP25" s="140"/>
      <c r="FQ25" s="140"/>
      <c r="FR25" s="140"/>
      <c r="FS25" s="140"/>
      <c r="FT25" s="140"/>
      <c r="FU25" s="140"/>
      <c r="FV25" s="140"/>
      <c r="FW25" s="140"/>
      <c r="FX25" s="140"/>
      <c r="FY25" s="140"/>
      <c r="FZ25" s="140"/>
      <c r="GA25" s="140"/>
      <c r="GB25" s="140"/>
      <c r="GC25" s="140"/>
      <c r="GD25" s="129"/>
      <c r="GE25" s="140"/>
      <c r="GF25" s="140"/>
      <c r="GG25" s="140"/>
      <c r="GH25" s="140"/>
      <c r="GI25" s="140"/>
      <c r="GJ25" s="140"/>
      <c r="GK25" s="140"/>
      <c r="GL25" s="140"/>
      <c r="GM25" s="64"/>
      <c r="GN25" s="64"/>
      <c r="GO25" s="64"/>
      <c r="GP25" s="64"/>
      <c r="GQ25" s="64"/>
      <c r="GR25" s="64"/>
      <c r="GS25" s="64"/>
      <c r="GT25" s="64"/>
      <c r="GU25" s="64"/>
      <c r="GV25" s="64"/>
      <c r="GW25" s="64"/>
      <c r="GX25" s="64"/>
    </row>
    <row r="26" spans="1:206">
      <c r="A26" s="174"/>
      <c r="B26" s="140"/>
      <c r="C26" s="140"/>
      <c r="D26" s="140"/>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68"/>
      <c r="AH26" s="140"/>
      <c r="AI26" s="140"/>
      <c r="AJ26" s="140"/>
      <c r="AK26" s="140"/>
      <c r="AL26" s="140"/>
      <c r="AM26" s="140"/>
      <c r="AN26" s="140"/>
      <c r="AO26" s="140"/>
      <c r="AP26" s="140"/>
      <c r="AQ26" s="140"/>
      <c r="AR26" s="140"/>
      <c r="AS26" s="140"/>
      <c r="AT26" s="140"/>
      <c r="AU26" s="140"/>
      <c r="AV26" s="140"/>
      <c r="AW26" s="140"/>
      <c r="AX26" s="140"/>
      <c r="AY26" s="140"/>
      <c r="AZ26" s="140"/>
      <c r="BA26" s="140"/>
      <c r="BB26" s="140"/>
      <c r="BC26" s="140"/>
      <c r="BD26" s="140"/>
      <c r="BE26" s="140"/>
      <c r="BF26" s="140"/>
      <c r="BG26" s="140"/>
      <c r="BH26" s="140"/>
      <c r="BI26" s="140"/>
      <c r="BJ26" s="140"/>
      <c r="BK26" s="129"/>
      <c r="BL26" s="140"/>
      <c r="BM26" s="140"/>
      <c r="BN26" s="140"/>
      <c r="BO26" s="140"/>
      <c r="BP26" s="140"/>
      <c r="BQ26" s="140"/>
      <c r="BR26" s="140"/>
      <c r="BS26" s="140"/>
      <c r="BT26" s="140"/>
      <c r="BU26" s="140"/>
      <c r="BV26" s="140"/>
      <c r="BW26" s="140"/>
      <c r="BX26" s="140"/>
      <c r="BY26" s="140"/>
      <c r="BZ26" s="140"/>
      <c r="CA26" s="140"/>
      <c r="CB26" s="140"/>
      <c r="CC26" s="140"/>
      <c r="CD26" s="140"/>
      <c r="CE26" s="140"/>
      <c r="CF26" s="140"/>
      <c r="CG26" s="140"/>
      <c r="CH26" s="140"/>
      <c r="CI26" s="140"/>
      <c r="CJ26" s="140"/>
      <c r="CK26" s="140"/>
      <c r="CL26" s="140"/>
      <c r="CM26" s="140"/>
      <c r="CN26" s="140"/>
      <c r="CO26" s="140"/>
      <c r="CP26" s="140"/>
      <c r="CQ26" s="140"/>
      <c r="CR26" s="140"/>
      <c r="CS26" s="140"/>
      <c r="CT26" s="140"/>
      <c r="CU26" s="140"/>
      <c r="CV26" s="140"/>
      <c r="CW26" s="140"/>
      <c r="CX26" s="140"/>
      <c r="CY26" s="140"/>
      <c r="CZ26" s="140"/>
      <c r="DA26" s="140"/>
      <c r="DB26" s="140"/>
      <c r="DC26" s="140"/>
      <c r="DD26" s="140"/>
      <c r="DE26" s="140"/>
      <c r="DF26" s="140"/>
      <c r="DG26" s="140"/>
      <c r="DH26" s="140"/>
      <c r="DI26" s="140"/>
      <c r="DJ26" s="140"/>
      <c r="DK26" s="140"/>
      <c r="DL26" s="140"/>
      <c r="DM26" s="140"/>
      <c r="DN26" s="136"/>
      <c r="DO26" s="136"/>
      <c r="DP26" s="136"/>
      <c r="DQ26" s="136"/>
      <c r="DR26" s="140"/>
      <c r="DS26" s="140"/>
      <c r="DT26" s="140"/>
      <c r="DU26" s="140"/>
      <c r="DV26" s="129"/>
      <c r="DW26" s="129"/>
      <c r="DX26" s="129"/>
      <c r="DY26" s="129"/>
      <c r="DZ26" s="140"/>
      <c r="EA26" s="140"/>
      <c r="EB26" s="140"/>
      <c r="EC26" s="140"/>
      <c r="ED26" s="140"/>
      <c r="EE26" s="140"/>
      <c r="EF26" s="140"/>
      <c r="EG26" s="140"/>
      <c r="EH26" s="140"/>
      <c r="EI26" s="140"/>
      <c r="EJ26" s="140"/>
      <c r="EK26" s="140"/>
      <c r="EL26" s="140"/>
      <c r="EM26" s="140"/>
      <c r="EN26" s="140"/>
      <c r="EO26" s="140"/>
      <c r="EP26" s="140"/>
      <c r="EQ26" s="140"/>
      <c r="ER26" s="140"/>
      <c r="ES26" s="175"/>
      <c r="ET26" s="140"/>
      <c r="EU26" s="140"/>
      <c r="EV26" s="175"/>
      <c r="EW26" s="140"/>
      <c r="EX26" s="140"/>
      <c r="EY26" s="175"/>
      <c r="EZ26" s="140"/>
      <c r="FA26" s="140"/>
      <c r="FB26" s="175"/>
      <c r="FC26" s="140"/>
      <c r="FD26" s="140"/>
      <c r="FE26" s="140"/>
      <c r="FF26" s="140"/>
      <c r="FG26" s="140"/>
      <c r="FH26" s="140"/>
      <c r="FI26" s="140"/>
      <c r="FJ26" s="140"/>
      <c r="FK26" s="140"/>
      <c r="FL26" s="140"/>
      <c r="FM26" s="140"/>
      <c r="FN26" s="140"/>
      <c r="FO26" s="140"/>
      <c r="FP26" s="140"/>
      <c r="FQ26" s="140"/>
      <c r="FR26" s="140"/>
      <c r="FS26" s="140"/>
      <c r="FT26" s="140"/>
      <c r="FU26" s="140"/>
      <c r="FV26" s="140"/>
      <c r="FW26" s="140"/>
      <c r="FX26" s="140"/>
      <c r="FY26" s="140"/>
      <c r="FZ26" s="140"/>
      <c r="GA26" s="140"/>
      <c r="GB26" s="140"/>
      <c r="GC26" s="140"/>
      <c r="GD26" s="129"/>
      <c r="GE26" s="140"/>
      <c r="GF26" s="140"/>
      <c r="GG26" s="140"/>
      <c r="GH26" s="140"/>
      <c r="GI26" s="140"/>
      <c r="GJ26" s="140"/>
      <c r="GK26" s="140"/>
      <c r="GL26" s="140"/>
      <c r="GM26" s="64"/>
      <c r="GN26" s="64"/>
      <c r="GO26" s="64"/>
      <c r="GP26" s="64"/>
      <c r="GQ26" s="64"/>
      <c r="GR26" s="64"/>
      <c r="GS26" s="64"/>
      <c r="GT26" s="64"/>
      <c r="GU26" s="64"/>
      <c r="GV26" s="64"/>
      <c r="GW26" s="64"/>
      <c r="GX26" s="64"/>
    </row>
    <row r="27" spans="1:206">
      <c r="A27" s="174"/>
      <c r="B27" s="140"/>
      <c r="C27" s="140"/>
      <c r="D27" s="140"/>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68"/>
      <c r="AH27" s="140"/>
      <c r="AI27" s="140"/>
      <c r="AJ27" s="140"/>
      <c r="AK27" s="140"/>
      <c r="AL27" s="140"/>
      <c r="AM27" s="140"/>
      <c r="AN27" s="140"/>
      <c r="AO27" s="140"/>
      <c r="AP27" s="140"/>
      <c r="AQ27" s="140"/>
      <c r="AR27" s="140"/>
      <c r="AS27" s="140"/>
      <c r="AT27" s="140"/>
      <c r="AU27" s="140"/>
      <c r="AV27" s="140"/>
      <c r="AW27" s="140"/>
      <c r="AX27" s="140"/>
      <c r="AY27" s="140"/>
      <c r="AZ27" s="140"/>
      <c r="BA27" s="140"/>
      <c r="BB27" s="140"/>
      <c r="BC27" s="140"/>
      <c r="BD27" s="140"/>
      <c r="BE27" s="140"/>
      <c r="BF27" s="140"/>
      <c r="BG27" s="140"/>
      <c r="BH27" s="140"/>
      <c r="BI27" s="140"/>
      <c r="BJ27" s="140"/>
      <c r="BK27" s="129"/>
      <c r="BL27" s="140"/>
      <c r="BM27" s="140"/>
      <c r="BN27" s="140"/>
      <c r="BO27" s="140"/>
      <c r="BP27" s="140"/>
      <c r="BQ27" s="140"/>
      <c r="BR27" s="140"/>
      <c r="BS27" s="140"/>
      <c r="BT27" s="140"/>
      <c r="BU27" s="140"/>
      <c r="BV27" s="140"/>
      <c r="BW27" s="140"/>
      <c r="BX27" s="140"/>
      <c r="BY27" s="140"/>
      <c r="BZ27" s="140"/>
      <c r="CA27" s="140"/>
      <c r="CB27" s="140"/>
      <c r="CC27" s="140"/>
      <c r="CD27" s="140"/>
      <c r="CE27" s="140"/>
      <c r="CF27" s="140"/>
      <c r="CG27" s="140"/>
      <c r="CH27" s="140"/>
      <c r="CI27" s="140"/>
      <c r="CJ27" s="140"/>
      <c r="CK27" s="140"/>
      <c r="CL27" s="140"/>
      <c r="CM27" s="140"/>
      <c r="CN27" s="140"/>
      <c r="CO27" s="140"/>
      <c r="CP27" s="140"/>
      <c r="CQ27" s="140"/>
      <c r="CR27" s="140"/>
      <c r="CS27" s="140"/>
      <c r="CT27" s="140"/>
      <c r="CU27" s="140"/>
      <c r="CV27" s="140"/>
      <c r="CW27" s="140"/>
      <c r="CX27" s="140"/>
      <c r="CY27" s="140"/>
      <c r="CZ27" s="140"/>
      <c r="DA27" s="140"/>
      <c r="DB27" s="140"/>
      <c r="DC27" s="140"/>
      <c r="DD27" s="140"/>
      <c r="DE27" s="140"/>
      <c r="DF27" s="140"/>
      <c r="DG27" s="140"/>
      <c r="DH27" s="140"/>
      <c r="DI27" s="140"/>
      <c r="DJ27" s="140"/>
      <c r="DK27" s="140"/>
      <c r="DL27" s="140"/>
      <c r="DM27" s="140"/>
      <c r="DN27" s="136"/>
      <c r="DO27" s="136"/>
      <c r="DP27" s="136"/>
      <c r="DQ27" s="136"/>
      <c r="DR27" s="140"/>
      <c r="DS27" s="140"/>
      <c r="DT27" s="140"/>
      <c r="DU27" s="140"/>
      <c r="DV27" s="129"/>
      <c r="DW27" s="129"/>
      <c r="DX27" s="129"/>
      <c r="DY27" s="129"/>
      <c r="DZ27" s="140"/>
      <c r="EA27" s="140"/>
      <c r="EB27" s="140"/>
      <c r="EC27" s="140"/>
      <c r="ED27" s="140"/>
      <c r="EE27" s="140"/>
      <c r="EF27" s="140"/>
      <c r="EG27" s="140"/>
      <c r="EH27" s="140"/>
      <c r="EI27" s="140"/>
      <c r="EJ27" s="140"/>
      <c r="EK27" s="140"/>
      <c r="EL27" s="140"/>
      <c r="EM27" s="140"/>
      <c r="EN27" s="140"/>
      <c r="EO27" s="140"/>
      <c r="EP27" s="140"/>
      <c r="EQ27" s="140"/>
      <c r="ER27" s="140"/>
      <c r="ES27" s="175"/>
      <c r="ET27" s="140"/>
      <c r="EU27" s="140"/>
      <c r="EV27" s="175"/>
      <c r="EW27" s="140"/>
      <c r="EX27" s="140"/>
      <c r="EY27" s="175"/>
      <c r="EZ27" s="140"/>
      <c r="FA27" s="140"/>
      <c r="FB27" s="175"/>
      <c r="FC27" s="140"/>
      <c r="FD27" s="140"/>
      <c r="FE27" s="140"/>
      <c r="FF27" s="140"/>
      <c r="FG27" s="140"/>
      <c r="FH27" s="140"/>
      <c r="FI27" s="140"/>
      <c r="FJ27" s="140"/>
      <c r="FK27" s="140"/>
      <c r="FL27" s="140"/>
      <c r="FM27" s="140"/>
      <c r="FN27" s="140"/>
      <c r="FO27" s="140"/>
      <c r="FP27" s="140"/>
      <c r="FQ27" s="140"/>
      <c r="FR27" s="140"/>
      <c r="FS27" s="140"/>
      <c r="FT27" s="140"/>
      <c r="FU27" s="140"/>
      <c r="FV27" s="140"/>
      <c r="FW27" s="140"/>
      <c r="FX27" s="140"/>
      <c r="FY27" s="140"/>
      <c r="FZ27" s="140"/>
      <c r="GA27" s="140"/>
      <c r="GB27" s="140"/>
      <c r="GC27" s="140"/>
      <c r="GD27" s="129"/>
      <c r="GE27" s="140"/>
      <c r="GF27" s="140"/>
      <c r="GG27" s="140"/>
      <c r="GH27" s="140"/>
      <c r="GI27" s="140"/>
      <c r="GJ27" s="140"/>
      <c r="GK27" s="140"/>
      <c r="GL27" s="140"/>
      <c r="GM27" s="64"/>
      <c r="GN27" s="64"/>
      <c r="GO27" s="64"/>
      <c r="GP27" s="64"/>
      <c r="GQ27" s="64"/>
      <c r="GR27" s="64"/>
      <c r="GS27" s="64"/>
      <c r="GT27" s="64"/>
      <c r="GU27" s="64"/>
      <c r="GV27" s="64"/>
      <c r="GW27" s="64"/>
      <c r="GX27" s="64"/>
    </row>
    <row r="28" spans="1:206">
      <c r="A28" s="174"/>
      <c r="B28" s="140"/>
      <c r="C28" s="140"/>
      <c r="D28" s="140"/>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68"/>
      <c r="AH28" s="140"/>
      <c r="AI28" s="140"/>
      <c r="AJ28" s="140"/>
      <c r="AK28" s="140"/>
      <c r="AL28" s="140"/>
      <c r="AM28" s="140"/>
      <c r="AN28" s="140"/>
      <c r="AO28" s="140"/>
      <c r="AP28" s="140"/>
      <c r="AQ28" s="140"/>
      <c r="AR28" s="140"/>
      <c r="AS28" s="140"/>
      <c r="AT28" s="140"/>
      <c r="AU28" s="140"/>
      <c r="AV28" s="140"/>
      <c r="AW28" s="140"/>
      <c r="AX28" s="140"/>
      <c r="AY28" s="140"/>
      <c r="AZ28" s="140"/>
      <c r="BA28" s="140"/>
      <c r="BB28" s="140"/>
      <c r="BC28" s="140"/>
      <c r="BD28" s="140"/>
      <c r="BE28" s="140"/>
      <c r="BF28" s="140"/>
      <c r="BG28" s="140"/>
      <c r="BH28" s="140"/>
      <c r="BI28" s="140"/>
      <c r="BJ28" s="140"/>
      <c r="BK28" s="129"/>
      <c r="BL28" s="140"/>
      <c r="BM28" s="140"/>
      <c r="BN28" s="140"/>
      <c r="BO28" s="140"/>
      <c r="BP28" s="140"/>
      <c r="BQ28" s="140"/>
      <c r="BR28" s="140"/>
      <c r="BS28" s="140"/>
      <c r="BT28" s="140"/>
      <c r="BU28" s="140"/>
      <c r="BV28" s="140"/>
      <c r="BW28" s="140"/>
      <c r="BX28" s="140"/>
      <c r="BY28" s="140"/>
      <c r="BZ28" s="140"/>
      <c r="CA28" s="140"/>
      <c r="CB28" s="140"/>
      <c r="CC28" s="140"/>
      <c r="CD28" s="140"/>
      <c r="CE28" s="140"/>
      <c r="CF28" s="140"/>
      <c r="CG28" s="140"/>
      <c r="CH28" s="140"/>
      <c r="CI28" s="140"/>
      <c r="CJ28" s="140"/>
      <c r="CK28" s="140"/>
      <c r="CL28" s="140"/>
      <c r="CM28" s="140"/>
      <c r="CN28" s="140"/>
      <c r="CO28" s="140"/>
      <c r="CP28" s="140"/>
      <c r="CQ28" s="140"/>
      <c r="CR28" s="140"/>
      <c r="CS28" s="140"/>
      <c r="CT28" s="140"/>
      <c r="CU28" s="140"/>
      <c r="CV28" s="140"/>
      <c r="CW28" s="140"/>
      <c r="CX28" s="140"/>
      <c r="CY28" s="140"/>
      <c r="CZ28" s="140"/>
      <c r="DA28" s="140"/>
      <c r="DB28" s="140"/>
      <c r="DC28" s="140"/>
      <c r="DD28" s="140"/>
      <c r="DE28" s="140"/>
      <c r="DF28" s="140"/>
      <c r="DG28" s="140"/>
      <c r="DH28" s="140"/>
      <c r="DI28" s="140"/>
      <c r="DJ28" s="140"/>
      <c r="DK28" s="140"/>
      <c r="DL28" s="140"/>
      <c r="DM28" s="140"/>
      <c r="DN28" s="136"/>
      <c r="DO28" s="136"/>
      <c r="DP28" s="136"/>
      <c r="DQ28" s="136"/>
      <c r="DR28" s="140"/>
      <c r="DS28" s="140"/>
      <c r="DT28" s="140"/>
      <c r="DU28" s="140"/>
      <c r="DV28" s="129"/>
      <c r="DW28" s="129"/>
      <c r="DX28" s="129"/>
      <c r="DY28" s="129"/>
      <c r="DZ28" s="140"/>
      <c r="EA28" s="140"/>
      <c r="EB28" s="140"/>
      <c r="EC28" s="140"/>
      <c r="ED28" s="140"/>
      <c r="EE28" s="140"/>
      <c r="EF28" s="140"/>
      <c r="EG28" s="140"/>
      <c r="EH28" s="140"/>
      <c r="EI28" s="140"/>
      <c r="EJ28" s="140"/>
      <c r="EK28" s="140"/>
      <c r="EL28" s="140"/>
      <c r="EM28" s="140"/>
      <c r="EN28" s="140"/>
      <c r="EO28" s="140"/>
      <c r="EP28" s="140"/>
      <c r="EQ28" s="140"/>
      <c r="ER28" s="140"/>
      <c r="ES28" s="175"/>
      <c r="ET28" s="140"/>
      <c r="EU28" s="140"/>
      <c r="EV28" s="175"/>
      <c r="EW28" s="140"/>
      <c r="EX28" s="140"/>
      <c r="EY28" s="175"/>
      <c r="EZ28" s="140"/>
      <c r="FA28" s="140"/>
      <c r="FB28" s="175"/>
      <c r="FC28" s="140"/>
      <c r="FD28" s="140"/>
      <c r="FE28" s="140"/>
      <c r="FF28" s="140"/>
      <c r="FG28" s="140"/>
      <c r="FH28" s="140"/>
      <c r="FI28" s="140"/>
      <c r="FJ28" s="140"/>
      <c r="FK28" s="140"/>
      <c r="FL28" s="140"/>
      <c r="FM28" s="140"/>
      <c r="FN28" s="140"/>
      <c r="FO28" s="140"/>
      <c r="FP28" s="140"/>
      <c r="FQ28" s="140"/>
      <c r="FR28" s="140"/>
      <c r="FS28" s="140"/>
      <c r="FT28" s="140"/>
      <c r="FU28" s="140"/>
      <c r="FV28" s="140"/>
      <c r="FW28" s="140"/>
      <c r="FX28" s="140"/>
      <c r="FY28" s="140"/>
      <c r="FZ28" s="140"/>
      <c r="GA28" s="140"/>
      <c r="GB28" s="140"/>
      <c r="GC28" s="140"/>
      <c r="GD28" s="129"/>
      <c r="GE28" s="140"/>
      <c r="GF28" s="140"/>
      <c r="GG28" s="140"/>
      <c r="GH28" s="140"/>
      <c r="GI28" s="140"/>
      <c r="GJ28" s="140"/>
      <c r="GK28" s="140"/>
      <c r="GL28" s="140"/>
      <c r="GM28" s="64"/>
      <c r="GN28" s="64"/>
      <c r="GO28" s="64"/>
      <c r="GP28" s="64"/>
      <c r="GQ28" s="64"/>
      <c r="GR28" s="64"/>
      <c r="GS28" s="64"/>
      <c r="GT28" s="64"/>
      <c r="GU28" s="64"/>
      <c r="GV28" s="64"/>
      <c r="GW28" s="64"/>
      <c r="GX28" s="64"/>
    </row>
    <row r="29" spans="1:206">
      <c r="A29" s="174"/>
      <c r="B29" s="140"/>
      <c r="C29" s="140"/>
      <c r="D29" s="140"/>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68"/>
      <c r="AH29" s="140"/>
      <c r="AI29" s="140"/>
      <c r="AJ29" s="140"/>
      <c r="AK29" s="140"/>
      <c r="AL29" s="140"/>
      <c r="AM29" s="140"/>
      <c r="AN29" s="140"/>
      <c r="AO29" s="140"/>
      <c r="AP29" s="140"/>
      <c r="AQ29" s="140"/>
      <c r="AR29" s="140"/>
      <c r="AS29" s="140"/>
      <c r="AT29" s="140"/>
      <c r="AU29" s="140"/>
      <c r="AV29" s="140"/>
      <c r="AW29" s="140"/>
      <c r="AX29" s="140"/>
      <c r="AY29" s="140"/>
      <c r="AZ29" s="140"/>
      <c r="BA29" s="140"/>
      <c r="BB29" s="140"/>
      <c r="BC29" s="140"/>
      <c r="BD29" s="140"/>
      <c r="BE29" s="140"/>
      <c r="BF29" s="140"/>
      <c r="BG29" s="140"/>
      <c r="BH29" s="140"/>
      <c r="BI29" s="140"/>
      <c r="BJ29" s="140"/>
      <c r="BK29" s="129"/>
      <c r="BL29" s="140"/>
      <c r="BM29" s="140"/>
      <c r="BN29" s="140"/>
      <c r="BO29" s="140"/>
      <c r="BP29" s="140"/>
      <c r="BQ29" s="140"/>
      <c r="BR29" s="140"/>
      <c r="BS29" s="140"/>
      <c r="BT29" s="140"/>
      <c r="BU29" s="140"/>
      <c r="BV29" s="140"/>
      <c r="BW29" s="140"/>
      <c r="BX29" s="140"/>
      <c r="BY29" s="140"/>
      <c r="BZ29" s="140"/>
      <c r="CA29" s="140"/>
      <c r="CB29" s="140"/>
      <c r="CC29" s="140"/>
      <c r="CD29" s="140"/>
      <c r="CE29" s="140"/>
      <c r="CF29" s="140"/>
      <c r="CG29" s="140"/>
      <c r="CH29" s="140"/>
      <c r="CI29" s="140"/>
      <c r="CJ29" s="140"/>
      <c r="CK29" s="140"/>
      <c r="CL29" s="140"/>
      <c r="CM29" s="140"/>
      <c r="CN29" s="140"/>
      <c r="CO29" s="140"/>
      <c r="CP29" s="140"/>
      <c r="CQ29" s="140"/>
      <c r="CR29" s="140"/>
      <c r="CS29" s="140"/>
      <c r="CT29" s="140"/>
      <c r="CU29" s="140"/>
      <c r="CV29" s="140"/>
      <c r="CW29" s="140"/>
      <c r="CX29" s="140"/>
      <c r="CY29" s="140"/>
      <c r="CZ29" s="140"/>
      <c r="DA29" s="140"/>
      <c r="DB29" s="140"/>
      <c r="DC29" s="140"/>
      <c r="DD29" s="140"/>
      <c r="DE29" s="140"/>
      <c r="DF29" s="140"/>
      <c r="DG29" s="140"/>
      <c r="DH29" s="140"/>
      <c r="DI29" s="140"/>
      <c r="DJ29" s="140"/>
      <c r="DK29" s="140"/>
      <c r="DL29" s="140"/>
      <c r="DM29" s="140"/>
      <c r="DN29" s="136"/>
      <c r="DO29" s="136"/>
      <c r="DP29" s="136"/>
      <c r="DQ29" s="136"/>
      <c r="DR29" s="140"/>
      <c r="DS29" s="140"/>
      <c r="DT29" s="140"/>
      <c r="DU29" s="140"/>
      <c r="DV29" s="129"/>
      <c r="DW29" s="129"/>
      <c r="DX29" s="129"/>
      <c r="DY29" s="129"/>
      <c r="DZ29" s="140"/>
      <c r="EA29" s="140"/>
      <c r="EB29" s="140"/>
      <c r="EC29" s="140"/>
      <c r="ED29" s="140"/>
      <c r="EE29" s="140"/>
      <c r="EF29" s="140"/>
      <c r="EG29" s="140"/>
      <c r="EH29" s="140"/>
      <c r="EI29" s="140"/>
      <c r="EJ29" s="140"/>
      <c r="EK29" s="140"/>
      <c r="EL29" s="140"/>
      <c r="EM29" s="140"/>
      <c r="EN29" s="140"/>
      <c r="EO29" s="140"/>
      <c r="EP29" s="140"/>
      <c r="EQ29" s="140"/>
      <c r="ER29" s="140"/>
      <c r="ES29" s="175"/>
      <c r="ET29" s="140"/>
      <c r="EU29" s="140"/>
      <c r="EV29" s="175"/>
      <c r="EW29" s="140"/>
      <c r="EX29" s="140"/>
      <c r="EY29" s="175"/>
      <c r="EZ29" s="140"/>
      <c r="FA29" s="140"/>
      <c r="FB29" s="175"/>
      <c r="FC29" s="140"/>
      <c r="FD29" s="140"/>
      <c r="FE29" s="140"/>
      <c r="FF29" s="140"/>
      <c r="FG29" s="140"/>
      <c r="FH29" s="140"/>
      <c r="FI29" s="140"/>
      <c r="FJ29" s="140"/>
      <c r="FK29" s="140"/>
      <c r="FL29" s="140"/>
      <c r="FM29" s="140"/>
      <c r="FN29" s="140"/>
      <c r="FO29" s="140"/>
      <c r="FP29" s="140"/>
      <c r="FQ29" s="140"/>
      <c r="FR29" s="140"/>
      <c r="FS29" s="140"/>
      <c r="FT29" s="140"/>
      <c r="FU29" s="140"/>
      <c r="FV29" s="140"/>
      <c r="FW29" s="140"/>
      <c r="FX29" s="140"/>
      <c r="FY29" s="140"/>
      <c r="FZ29" s="140"/>
      <c r="GA29" s="140"/>
      <c r="GB29" s="140"/>
      <c r="GC29" s="140"/>
      <c r="GD29" s="129"/>
      <c r="GE29" s="140"/>
      <c r="GF29" s="140"/>
      <c r="GG29" s="140"/>
      <c r="GH29" s="140"/>
      <c r="GI29" s="140"/>
      <c r="GJ29" s="140"/>
      <c r="GK29" s="140"/>
      <c r="GL29" s="140"/>
      <c r="GM29" s="64"/>
      <c r="GN29" s="64"/>
      <c r="GO29" s="64"/>
      <c r="GP29" s="64"/>
      <c r="GQ29" s="64"/>
      <c r="GR29" s="64"/>
      <c r="GS29" s="64"/>
      <c r="GT29" s="64"/>
      <c r="GU29" s="64"/>
      <c r="GV29" s="64"/>
      <c r="GW29" s="64"/>
      <c r="GX29" s="64"/>
    </row>
    <row r="30" spans="1:206">
      <c r="A30" s="174"/>
      <c r="B30" s="140"/>
      <c r="C30" s="140"/>
      <c r="D30" s="140"/>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68"/>
      <c r="AH30" s="140"/>
      <c r="AI30" s="140"/>
      <c r="AJ30" s="140"/>
      <c r="AK30" s="140"/>
      <c r="AL30" s="140"/>
      <c r="AM30" s="140"/>
      <c r="AN30" s="140"/>
      <c r="AO30" s="140"/>
      <c r="AP30" s="140"/>
      <c r="AQ30" s="140"/>
      <c r="AR30" s="140"/>
      <c r="AS30" s="140"/>
      <c r="AT30" s="140"/>
      <c r="AU30" s="140"/>
      <c r="AV30" s="140"/>
      <c r="AW30" s="140"/>
      <c r="AX30" s="140"/>
      <c r="AY30" s="140"/>
      <c r="AZ30" s="140"/>
      <c r="BA30" s="140"/>
      <c r="BB30" s="140"/>
      <c r="BC30" s="140"/>
      <c r="BD30" s="140"/>
      <c r="BE30" s="140"/>
      <c r="BF30" s="140"/>
      <c r="BG30" s="140"/>
      <c r="BH30" s="140"/>
      <c r="BI30" s="140"/>
      <c r="BJ30" s="140"/>
      <c r="BK30" s="129"/>
      <c r="BL30" s="140"/>
      <c r="BM30" s="140"/>
      <c r="BN30" s="140"/>
      <c r="BO30" s="140"/>
      <c r="BP30" s="140"/>
      <c r="BQ30" s="140"/>
      <c r="BR30" s="140"/>
      <c r="BS30" s="140"/>
      <c r="BT30" s="140"/>
      <c r="BU30" s="140"/>
      <c r="BV30" s="140"/>
      <c r="BW30" s="140"/>
      <c r="BX30" s="140"/>
      <c r="BY30" s="140"/>
      <c r="BZ30" s="140"/>
      <c r="CA30" s="140"/>
      <c r="CB30" s="140"/>
      <c r="CC30" s="140"/>
      <c r="CD30" s="140"/>
      <c r="CE30" s="140"/>
      <c r="CF30" s="140"/>
      <c r="CG30" s="140"/>
      <c r="CH30" s="140"/>
      <c r="CI30" s="140"/>
      <c r="CJ30" s="140"/>
      <c r="CK30" s="140"/>
      <c r="CL30" s="140"/>
      <c r="CM30" s="140"/>
      <c r="CN30" s="140"/>
      <c r="CO30" s="140"/>
      <c r="CP30" s="140"/>
      <c r="CQ30" s="140"/>
      <c r="CR30" s="140"/>
      <c r="CS30" s="140"/>
      <c r="CT30" s="140"/>
      <c r="CU30" s="140"/>
      <c r="CV30" s="140"/>
      <c r="CW30" s="140"/>
      <c r="CX30" s="140"/>
      <c r="CY30" s="140"/>
      <c r="CZ30" s="140"/>
      <c r="DA30" s="140"/>
      <c r="DB30" s="140"/>
      <c r="DC30" s="140"/>
      <c r="DD30" s="140"/>
      <c r="DE30" s="140"/>
      <c r="DF30" s="140"/>
      <c r="DG30" s="140"/>
      <c r="DH30" s="140"/>
      <c r="DI30" s="140"/>
      <c r="DJ30" s="140"/>
      <c r="DK30" s="140"/>
      <c r="DL30" s="140"/>
      <c r="DM30" s="140"/>
      <c r="DN30" s="136"/>
      <c r="DO30" s="136"/>
      <c r="DP30" s="136"/>
      <c r="DQ30" s="136"/>
      <c r="DR30" s="140"/>
      <c r="DS30" s="140"/>
      <c r="DT30" s="140"/>
      <c r="DU30" s="140"/>
      <c r="DV30" s="129"/>
      <c r="DW30" s="129"/>
      <c r="DX30" s="129"/>
      <c r="DY30" s="129"/>
      <c r="DZ30" s="140"/>
      <c r="EA30" s="140"/>
      <c r="EB30" s="140"/>
      <c r="EC30" s="140"/>
      <c r="ED30" s="140"/>
      <c r="EE30" s="140"/>
      <c r="EF30" s="140"/>
      <c r="EG30" s="140"/>
      <c r="EH30" s="140"/>
      <c r="EI30" s="140"/>
      <c r="EJ30" s="140"/>
      <c r="EK30" s="140"/>
      <c r="EL30" s="140"/>
      <c r="EM30" s="140"/>
      <c r="EN30" s="140"/>
      <c r="EO30" s="140"/>
      <c r="EP30" s="140"/>
      <c r="EQ30" s="140"/>
      <c r="ER30" s="140"/>
      <c r="ES30" s="175"/>
      <c r="ET30" s="140"/>
      <c r="EU30" s="140"/>
      <c r="EV30" s="175"/>
      <c r="EW30" s="140"/>
      <c r="EX30" s="140"/>
      <c r="EY30" s="175"/>
      <c r="EZ30" s="140"/>
      <c r="FA30" s="140"/>
      <c r="FB30" s="175"/>
      <c r="FC30" s="140"/>
      <c r="FD30" s="140"/>
      <c r="FE30" s="140"/>
      <c r="FF30" s="140"/>
      <c r="FG30" s="140"/>
      <c r="FH30" s="140"/>
      <c r="FI30" s="140"/>
      <c r="FJ30" s="140"/>
      <c r="FK30" s="140"/>
      <c r="FL30" s="140"/>
      <c r="FM30" s="140"/>
      <c r="FN30" s="140"/>
      <c r="FO30" s="140"/>
      <c r="FP30" s="140"/>
      <c r="FQ30" s="140"/>
      <c r="FR30" s="140"/>
      <c r="FS30" s="140"/>
      <c r="FT30" s="140"/>
      <c r="FU30" s="140"/>
      <c r="FV30" s="140"/>
      <c r="FW30" s="140"/>
      <c r="FX30" s="140"/>
      <c r="FY30" s="140"/>
      <c r="FZ30" s="140"/>
      <c r="GA30" s="140"/>
      <c r="GB30" s="140"/>
      <c r="GC30" s="140"/>
      <c r="GD30" s="129"/>
      <c r="GE30" s="140"/>
      <c r="GF30" s="140"/>
      <c r="GG30" s="140"/>
      <c r="GH30" s="140"/>
      <c r="GI30" s="140"/>
      <c r="GJ30" s="140"/>
      <c r="GK30" s="140"/>
      <c r="GL30" s="140"/>
      <c r="GM30" s="64"/>
      <c r="GN30" s="64"/>
      <c r="GO30" s="64"/>
      <c r="GP30" s="64"/>
      <c r="GQ30" s="64"/>
      <c r="GR30" s="64"/>
      <c r="GS30" s="64"/>
      <c r="GT30" s="64"/>
      <c r="GU30" s="64"/>
      <c r="GV30" s="64"/>
      <c r="GW30" s="64"/>
      <c r="GX30" s="64"/>
    </row>
    <row r="31" spans="1:206">
      <c r="A31" s="174"/>
      <c r="B31" s="140"/>
      <c r="C31" s="140"/>
      <c r="D31" s="140"/>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68"/>
      <c r="AH31" s="140"/>
      <c r="AI31" s="140"/>
      <c r="AJ31" s="140"/>
      <c r="AK31" s="140"/>
      <c r="AL31" s="140"/>
      <c r="AM31" s="140"/>
      <c r="AN31" s="140"/>
      <c r="AO31" s="140"/>
      <c r="AP31" s="140"/>
      <c r="AQ31" s="140"/>
      <c r="AR31" s="140"/>
      <c r="AS31" s="140"/>
      <c r="AT31" s="140"/>
      <c r="AU31" s="140"/>
      <c r="AV31" s="140"/>
      <c r="AW31" s="140"/>
      <c r="AX31" s="140"/>
      <c r="AY31" s="140"/>
      <c r="AZ31" s="140"/>
      <c r="BA31" s="140"/>
      <c r="BB31" s="140"/>
      <c r="BC31" s="140"/>
      <c r="BD31" s="140"/>
      <c r="BE31" s="140"/>
      <c r="BF31" s="140"/>
      <c r="BG31" s="140"/>
      <c r="BH31" s="140"/>
      <c r="BI31" s="140"/>
      <c r="BJ31" s="140"/>
      <c r="BK31" s="129"/>
      <c r="BL31" s="140"/>
      <c r="BM31" s="140"/>
      <c r="BN31" s="140"/>
      <c r="BO31" s="140"/>
      <c r="BP31" s="140"/>
      <c r="BQ31" s="140"/>
      <c r="BR31" s="140"/>
      <c r="BS31" s="140"/>
      <c r="BT31" s="140"/>
      <c r="BU31" s="140"/>
      <c r="BV31" s="140"/>
      <c r="BW31" s="140"/>
      <c r="BX31" s="140"/>
      <c r="BY31" s="140"/>
      <c r="BZ31" s="140"/>
      <c r="CA31" s="140"/>
      <c r="CB31" s="140"/>
      <c r="CC31" s="140"/>
      <c r="CD31" s="140"/>
      <c r="CE31" s="140"/>
      <c r="CF31" s="140"/>
      <c r="CG31" s="140"/>
      <c r="CH31" s="140"/>
      <c r="CI31" s="140"/>
      <c r="CJ31" s="140"/>
      <c r="CK31" s="140"/>
      <c r="CL31" s="140"/>
      <c r="CM31" s="140"/>
      <c r="CN31" s="140"/>
      <c r="CO31" s="140"/>
      <c r="CP31" s="140"/>
      <c r="CQ31" s="140"/>
      <c r="CR31" s="140"/>
      <c r="CS31" s="140"/>
      <c r="CT31" s="140"/>
      <c r="CU31" s="140"/>
      <c r="CV31" s="140"/>
      <c r="CW31" s="140"/>
      <c r="CX31" s="140"/>
      <c r="CY31" s="140"/>
      <c r="CZ31" s="140"/>
      <c r="DA31" s="140"/>
      <c r="DB31" s="140"/>
      <c r="DC31" s="140"/>
      <c r="DD31" s="140"/>
      <c r="DE31" s="140"/>
      <c r="DF31" s="140"/>
      <c r="DG31" s="140"/>
      <c r="DH31" s="140"/>
      <c r="DI31" s="140"/>
      <c r="DJ31" s="140"/>
      <c r="DK31" s="140"/>
      <c r="DL31" s="140"/>
      <c r="DM31" s="140"/>
      <c r="DN31" s="136"/>
      <c r="DO31" s="136"/>
      <c r="DP31" s="136"/>
      <c r="DQ31" s="136"/>
      <c r="DR31" s="140"/>
      <c r="DS31" s="140"/>
      <c r="DT31" s="140"/>
      <c r="DU31" s="140"/>
      <c r="DV31" s="129"/>
      <c r="DW31" s="129"/>
      <c r="DX31" s="129"/>
      <c r="DY31" s="129"/>
      <c r="DZ31" s="140"/>
      <c r="EA31" s="140"/>
      <c r="EB31" s="140"/>
      <c r="EC31" s="140"/>
      <c r="ED31" s="140"/>
      <c r="EE31" s="140"/>
      <c r="EF31" s="140"/>
      <c r="EG31" s="140"/>
      <c r="EH31" s="140"/>
      <c r="EI31" s="140"/>
      <c r="EJ31" s="140"/>
      <c r="EK31" s="140"/>
      <c r="EL31" s="140"/>
      <c r="EM31" s="140"/>
      <c r="EN31" s="140"/>
      <c r="EO31" s="140"/>
      <c r="EP31" s="140"/>
      <c r="EQ31" s="140"/>
      <c r="ER31" s="140"/>
      <c r="ES31" s="175"/>
      <c r="ET31" s="140"/>
      <c r="EU31" s="140"/>
      <c r="EV31" s="175"/>
      <c r="EW31" s="140"/>
      <c r="EX31" s="140"/>
      <c r="EY31" s="175"/>
      <c r="EZ31" s="140"/>
      <c r="FA31" s="140"/>
      <c r="FB31" s="175"/>
      <c r="FC31" s="140"/>
      <c r="FD31" s="140"/>
      <c r="FE31" s="140"/>
      <c r="FF31" s="140"/>
      <c r="FG31" s="140"/>
      <c r="FH31" s="140"/>
      <c r="FI31" s="140"/>
      <c r="FJ31" s="140"/>
      <c r="FK31" s="140"/>
      <c r="FL31" s="140"/>
      <c r="FM31" s="140"/>
      <c r="FN31" s="140"/>
      <c r="FO31" s="140"/>
      <c r="FP31" s="140"/>
      <c r="FQ31" s="140"/>
      <c r="FR31" s="140"/>
      <c r="FS31" s="140"/>
      <c r="FT31" s="140"/>
      <c r="FU31" s="140"/>
      <c r="FV31" s="140"/>
      <c r="FW31" s="140"/>
      <c r="FX31" s="140"/>
      <c r="FY31" s="140"/>
      <c r="FZ31" s="140"/>
      <c r="GA31" s="140"/>
      <c r="GB31" s="140"/>
      <c r="GC31" s="140"/>
      <c r="GD31" s="129"/>
      <c r="GE31" s="140"/>
      <c r="GF31" s="140"/>
      <c r="GG31" s="140"/>
      <c r="GH31" s="140"/>
      <c r="GI31" s="140"/>
      <c r="GJ31" s="140"/>
      <c r="GK31" s="140"/>
      <c r="GL31" s="140"/>
      <c r="GM31" s="64"/>
      <c r="GN31" s="64"/>
      <c r="GO31" s="64"/>
      <c r="GP31" s="64"/>
      <c r="GQ31" s="64"/>
      <c r="GR31" s="64"/>
      <c r="GS31" s="64"/>
      <c r="GT31" s="64"/>
      <c r="GU31" s="64"/>
      <c r="GV31" s="64"/>
      <c r="GW31" s="64"/>
      <c r="GX31" s="64"/>
    </row>
    <row r="32" spans="1:206">
      <c r="A32" s="174"/>
      <c r="B32" s="140"/>
      <c r="C32" s="140"/>
      <c r="D32" s="140"/>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68"/>
      <c r="AH32" s="140"/>
      <c r="AI32" s="140"/>
      <c r="AJ32" s="140"/>
      <c r="AK32" s="140"/>
      <c r="AL32" s="140"/>
      <c r="AM32" s="140"/>
      <c r="AN32" s="140"/>
      <c r="AO32" s="140"/>
      <c r="AP32" s="140"/>
      <c r="AQ32" s="140"/>
      <c r="AR32" s="140"/>
      <c r="AS32" s="140"/>
      <c r="AT32" s="140"/>
      <c r="AU32" s="140"/>
      <c r="AV32" s="140"/>
      <c r="AW32" s="140"/>
      <c r="AX32" s="140"/>
      <c r="AY32" s="140"/>
      <c r="AZ32" s="140"/>
      <c r="BA32" s="140"/>
      <c r="BB32" s="140"/>
      <c r="BC32" s="140"/>
      <c r="BD32" s="140"/>
      <c r="BE32" s="140"/>
      <c r="BF32" s="140"/>
      <c r="BG32" s="140"/>
      <c r="BH32" s="140"/>
      <c r="BI32" s="140"/>
      <c r="BJ32" s="140"/>
      <c r="BK32" s="129"/>
      <c r="BL32" s="140"/>
      <c r="BM32" s="140"/>
      <c r="BN32" s="140"/>
      <c r="BO32" s="140"/>
      <c r="BP32" s="140"/>
      <c r="BQ32" s="140"/>
      <c r="BR32" s="140"/>
      <c r="BS32" s="140"/>
      <c r="BT32" s="140"/>
      <c r="BU32" s="140"/>
      <c r="BV32" s="140"/>
      <c r="BW32" s="140"/>
      <c r="BX32" s="140"/>
      <c r="BY32" s="140"/>
      <c r="BZ32" s="140"/>
      <c r="CA32" s="140"/>
      <c r="CB32" s="140"/>
      <c r="CC32" s="140"/>
      <c r="CD32" s="140"/>
      <c r="CE32" s="140"/>
      <c r="CF32" s="140"/>
      <c r="CG32" s="140"/>
      <c r="CH32" s="140"/>
      <c r="CI32" s="140"/>
      <c r="CJ32" s="140"/>
      <c r="CK32" s="140"/>
      <c r="CL32" s="140"/>
      <c r="CM32" s="140"/>
      <c r="CN32" s="140"/>
      <c r="CO32" s="140"/>
      <c r="CP32" s="140"/>
      <c r="CQ32" s="140"/>
      <c r="CR32" s="140"/>
      <c r="CS32" s="140"/>
      <c r="CT32" s="140"/>
      <c r="CU32" s="140"/>
      <c r="CV32" s="140"/>
      <c r="CW32" s="140"/>
      <c r="CX32" s="140"/>
      <c r="CY32" s="140"/>
      <c r="CZ32" s="140"/>
      <c r="DA32" s="140"/>
      <c r="DB32" s="140"/>
      <c r="DC32" s="140"/>
      <c r="DD32" s="140"/>
      <c r="DE32" s="140"/>
      <c r="DF32" s="140"/>
      <c r="DG32" s="140"/>
      <c r="DH32" s="140"/>
      <c r="DI32" s="140"/>
      <c r="DJ32" s="140"/>
      <c r="DK32" s="140"/>
      <c r="DL32" s="140"/>
      <c r="DM32" s="140"/>
      <c r="DN32" s="136"/>
      <c r="DO32" s="136"/>
      <c r="DP32" s="136"/>
      <c r="DQ32" s="136"/>
      <c r="DR32" s="140"/>
      <c r="DS32" s="140"/>
      <c r="DT32" s="140"/>
      <c r="DU32" s="140"/>
      <c r="DV32" s="129"/>
      <c r="DW32" s="129"/>
      <c r="DX32" s="129"/>
      <c r="DY32" s="129"/>
      <c r="DZ32" s="140"/>
      <c r="EA32" s="140"/>
      <c r="EB32" s="140"/>
      <c r="EC32" s="140"/>
      <c r="ED32" s="140"/>
      <c r="EE32" s="140"/>
      <c r="EF32" s="140"/>
      <c r="EG32" s="140"/>
      <c r="EH32" s="140"/>
      <c r="EI32" s="140"/>
      <c r="EJ32" s="140"/>
      <c r="EK32" s="140"/>
      <c r="EL32" s="140"/>
      <c r="EM32" s="140"/>
      <c r="EN32" s="140"/>
      <c r="EO32" s="140"/>
      <c r="EP32" s="140"/>
      <c r="EQ32" s="140"/>
      <c r="ER32" s="140"/>
      <c r="ES32" s="175"/>
      <c r="ET32" s="140"/>
      <c r="EU32" s="140"/>
      <c r="EV32" s="175"/>
      <c r="EW32" s="140"/>
      <c r="EX32" s="140"/>
      <c r="EY32" s="175"/>
      <c r="EZ32" s="140"/>
      <c r="FA32" s="140"/>
      <c r="FB32" s="175"/>
      <c r="FC32" s="140"/>
      <c r="FD32" s="140"/>
      <c r="FE32" s="140"/>
      <c r="FF32" s="140"/>
      <c r="FG32" s="140"/>
      <c r="FH32" s="140"/>
      <c r="FI32" s="140"/>
      <c r="FJ32" s="140"/>
      <c r="FK32" s="140"/>
      <c r="FL32" s="140"/>
      <c r="FM32" s="140"/>
      <c r="FN32" s="140"/>
      <c r="FO32" s="140"/>
      <c r="FP32" s="140"/>
      <c r="FQ32" s="140"/>
      <c r="FR32" s="140"/>
      <c r="FS32" s="140"/>
      <c r="FT32" s="140"/>
      <c r="FU32" s="140"/>
      <c r="FV32" s="140"/>
      <c r="FW32" s="140"/>
      <c r="FX32" s="140"/>
      <c r="FY32" s="140"/>
      <c r="FZ32" s="140"/>
      <c r="GA32" s="140"/>
      <c r="GB32" s="140"/>
      <c r="GC32" s="140"/>
      <c r="GD32" s="129"/>
      <c r="GE32" s="140"/>
      <c r="GF32" s="140"/>
      <c r="GG32" s="140"/>
      <c r="GH32" s="140"/>
      <c r="GI32" s="140"/>
      <c r="GJ32" s="140"/>
      <c r="GK32" s="140"/>
      <c r="GL32" s="140"/>
      <c r="GM32" s="64"/>
      <c r="GN32" s="64"/>
      <c r="GO32" s="64"/>
      <c r="GP32" s="64"/>
      <c r="GQ32" s="64"/>
      <c r="GR32" s="64"/>
      <c r="GS32" s="64"/>
      <c r="GT32" s="64"/>
      <c r="GU32" s="64"/>
      <c r="GV32" s="64"/>
      <c r="GW32" s="64"/>
      <c r="GX32" s="64"/>
    </row>
    <row r="33" spans="1:206">
      <c r="A33" s="174"/>
      <c r="B33" s="140"/>
      <c r="C33" s="140"/>
      <c r="D33" s="140"/>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68"/>
      <c r="AH33" s="140"/>
      <c r="AI33" s="140"/>
      <c r="AJ33" s="140"/>
      <c r="AK33" s="140"/>
      <c r="AL33" s="140"/>
      <c r="AM33" s="140"/>
      <c r="AN33" s="140"/>
      <c r="AO33" s="140"/>
      <c r="AP33" s="140"/>
      <c r="AQ33" s="140"/>
      <c r="AR33" s="140"/>
      <c r="AS33" s="140"/>
      <c r="AT33" s="140"/>
      <c r="AU33" s="140"/>
      <c r="AV33" s="140"/>
      <c r="AW33" s="140"/>
      <c r="AX33" s="140"/>
      <c r="AY33" s="140"/>
      <c r="AZ33" s="140"/>
      <c r="BA33" s="140"/>
      <c r="BB33" s="140"/>
      <c r="BC33" s="140"/>
      <c r="BD33" s="140"/>
      <c r="BE33" s="140"/>
      <c r="BF33" s="140"/>
      <c r="BG33" s="140"/>
      <c r="BH33" s="140"/>
      <c r="BI33" s="140"/>
      <c r="BJ33" s="140"/>
      <c r="BK33" s="129"/>
      <c r="BL33" s="140"/>
      <c r="BM33" s="140"/>
      <c r="BN33" s="140"/>
      <c r="BO33" s="140"/>
      <c r="BP33" s="140"/>
      <c r="BQ33" s="140"/>
      <c r="BR33" s="140"/>
      <c r="BS33" s="140"/>
      <c r="BT33" s="140"/>
      <c r="BU33" s="140"/>
      <c r="BV33" s="140"/>
      <c r="BW33" s="140"/>
      <c r="BX33" s="140"/>
      <c r="BY33" s="140"/>
      <c r="BZ33" s="140"/>
      <c r="CA33" s="140"/>
      <c r="CB33" s="140"/>
      <c r="CC33" s="140"/>
      <c r="CD33" s="140"/>
      <c r="CE33" s="140"/>
      <c r="CF33" s="140"/>
      <c r="CG33" s="140"/>
      <c r="CH33" s="140"/>
      <c r="CI33" s="140"/>
      <c r="CJ33" s="140"/>
      <c r="CK33" s="140"/>
      <c r="CL33" s="140"/>
      <c r="CM33" s="140"/>
      <c r="CN33" s="140"/>
      <c r="CO33" s="140"/>
      <c r="CP33" s="140"/>
      <c r="CQ33" s="140"/>
      <c r="CR33" s="140"/>
      <c r="CS33" s="140"/>
      <c r="CT33" s="140"/>
      <c r="CU33" s="140"/>
      <c r="CV33" s="140"/>
      <c r="CW33" s="140"/>
      <c r="CX33" s="140"/>
      <c r="CY33" s="140"/>
      <c r="CZ33" s="140"/>
      <c r="DA33" s="140"/>
      <c r="DB33" s="140"/>
      <c r="DC33" s="140"/>
      <c r="DD33" s="140"/>
      <c r="DE33" s="140"/>
      <c r="DF33" s="140"/>
      <c r="DG33" s="140"/>
      <c r="DH33" s="140"/>
      <c r="DI33" s="140"/>
      <c r="DJ33" s="140"/>
      <c r="DK33" s="140"/>
      <c r="DL33" s="140"/>
      <c r="DM33" s="140"/>
      <c r="DN33" s="136"/>
      <c r="DO33" s="136"/>
      <c r="DP33" s="136"/>
      <c r="DQ33" s="136"/>
      <c r="DR33" s="140"/>
      <c r="DS33" s="140"/>
      <c r="DT33" s="140"/>
      <c r="DU33" s="140"/>
      <c r="DV33" s="129"/>
      <c r="DW33" s="129"/>
      <c r="DX33" s="129"/>
      <c r="DY33" s="129"/>
      <c r="DZ33" s="140"/>
      <c r="EA33" s="140"/>
      <c r="EB33" s="140"/>
      <c r="EC33" s="140"/>
      <c r="ED33" s="140"/>
      <c r="EE33" s="140"/>
      <c r="EF33" s="140"/>
      <c r="EG33" s="140"/>
      <c r="EH33" s="140"/>
      <c r="EI33" s="140"/>
      <c r="EJ33" s="140"/>
      <c r="EK33" s="140"/>
      <c r="EL33" s="140"/>
      <c r="EM33" s="140"/>
      <c r="EN33" s="140"/>
      <c r="EO33" s="140"/>
      <c r="EP33" s="140"/>
      <c r="EQ33" s="140"/>
      <c r="ER33" s="140"/>
      <c r="ES33" s="175"/>
      <c r="ET33" s="140"/>
      <c r="EU33" s="140"/>
      <c r="EV33" s="175"/>
      <c r="EW33" s="140"/>
      <c r="EX33" s="140"/>
      <c r="EY33" s="175"/>
      <c r="EZ33" s="140"/>
      <c r="FA33" s="140"/>
      <c r="FB33" s="175"/>
      <c r="FC33" s="140"/>
      <c r="FD33" s="140"/>
      <c r="FE33" s="140"/>
      <c r="FF33" s="140"/>
      <c r="FG33" s="140"/>
      <c r="FH33" s="140"/>
      <c r="FI33" s="140"/>
      <c r="FJ33" s="140"/>
      <c r="FK33" s="140"/>
      <c r="FL33" s="140"/>
      <c r="FM33" s="140"/>
      <c r="FN33" s="140"/>
      <c r="FO33" s="140"/>
      <c r="FP33" s="140"/>
      <c r="FQ33" s="140"/>
      <c r="FR33" s="140"/>
      <c r="FS33" s="140"/>
      <c r="FT33" s="140"/>
      <c r="FU33" s="140"/>
      <c r="FV33" s="140"/>
      <c r="FW33" s="140"/>
      <c r="FX33" s="140"/>
      <c r="FY33" s="140"/>
      <c r="FZ33" s="140"/>
      <c r="GA33" s="140"/>
      <c r="GB33" s="140"/>
      <c r="GC33" s="140"/>
      <c r="GD33" s="129"/>
      <c r="GE33" s="140"/>
      <c r="GF33" s="140"/>
      <c r="GG33" s="140"/>
      <c r="GH33" s="140"/>
      <c r="GI33" s="140"/>
      <c r="GJ33" s="140"/>
      <c r="GK33" s="140"/>
      <c r="GL33" s="140"/>
      <c r="GM33" s="64"/>
      <c r="GN33" s="64"/>
      <c r="GO33" s="64"/>
      <c r="GP33" s="64"/>
      <c r="GQ33" s="64"/>
      <c r="GR33" s="64"/>
      <c r="GS33" s="64"/>
      <c r="GT33" s="64"/>
      <c r="GU33" s="64"/>
      <c r="GV33" s="64"/>
      <c r="GW33" s="64"/>
      <c r="GX33" s="64"/>
    </row>
    <row r="34" spans="1:206">
      <c r="A34" s="174"/>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68"/>
      <c r="AH34" s="140"/>
      <c r="AI34" s="140"/>
      <c r="AJ34" s="140"/>
      <c r="AK34" s="140"/>
      <c r="AL34" s="140"/>
      <c r="AM34" s="140"/>
      <c r="AN34" s="140"/>
      <c r="AO34" s="140"/>
      <c r="AP34" s="140"/>
      <c r="AQ34" s="140"/>
      <c r="AR34" s="140"/>
      <c r="AS34" s="140"/>
      <c r="AT34" s="140"/>
      <c r="AU34" s="140"/>
      <c r="AV34" s="140"/>
      <c r="AW34" s="140"/>
      <c r="AX34" s="140"/>
      <c r="AY34" s="140"/>
      <c r="AZ34" s="140"/>
      <c r="BA34" s="140"/>
      <c r="BB34" s="140"/>
      <c r="BC34" s="140"/>
      <c r="BD34" s="140"/>
      <c r="BE34" s="140"/>
      <c r="BF34" s="140"/>
      <c r="BG34" s="140"/>
      <c r="BH34" s="140"/>
      <c r="BI34" s="140"/>
      <c r="BJ34" s="140"/>
      <c r="BK34" s="129"/>
      <c r="BL34" s="140"/>
      <c r="BM34" s="140"/>
      <c r="BN34" s="140"/>
      <c r="BO34" s="140"/>
      <c r="BP34" s="140"/>
      <c r="BQ34" s="140"/>
      <c r="BR34" s="140"/>
      <c r="BS34" s="140"/>
      <c r="BT34" s="140"/>
      <c r="BU34" s="140"/>
      <c r="BV34" s="140"/>
      <c r="BW34" s="140"/>
      <c r="BX34" s="140"/>
      <c r="BY34" s="140"/>
      <c r="BZ34" s="140"/>
      <c r="CA34" s="140"/>
      <c r="CB34" s="140"/>
      <c r="CC34" s="140"/>
      <c r="CD34" s="140"/>
      <c r="CE34" s="140"/>
      <c r="CF34" s="140"/>
      <c r="CG34" s="140"/>
      <c r="CH34" s="140"/>
      <c r="CI34" s="140"/>
      <c r="CJ34" s="140"/>
      <c r="CK34" s="140"/>
      <c r="CL34" s="140"/>
      <c r="CM34" s="140"/>
      <c r="CN34" s="140"/>
      <c r="CO34" s="140"/>
      <c r="CP34" s="140"/>
      <c r="CQ34" s="140"/>
      <c r="CR34" s="140"/>
      <c r="CS34" s="140"/>
      <c r="CT34" s="140"/>
      <c r="CU34" s="140"/>
      <c r="CV34" s="140"/>
      <c r="CW34" s="140"/>
      <c r="CX34" s="140"/>
      <c r="CY34" s="140"/>
      <c r="CZ34" s="140"/>
      <c r="DA34" s="140"/>
      <c r="DB34" s="140"/>
      <c r="DC34" s="140"/>
      <c r="DD34" s="140"/>
      <c r="DE34" s="140"/>
      <c r="DF34" s="140"/>
      <c r="DG34" s="140"/>
      <c r="DH34" s="140"/>
      <c r="DI34" s="140"/>
      <c r="DJ34" s="140"/>
      <c r="DK34" s="140"/>
      <c r="DL34" s="140"/>
      <c r="DM34" s="140"/>
      <c r="DN34" s="136"/>
      <c r="DO34" s="136"/>
      <c r="DP34" s="136"/>
      <c r="DQ34" s="136"/>
      <c r="DR34" s="140"/>
      <c r="DS34" s="140"/>
      <c r="DT34" s="140"/>
      <c r="DU34" s="140"/>
      <c r="DV34" s="129"/>
      <c r="DW34" s="129"/>
      <c r="DX34" s="129"/>
      <c r="DY34" s="129"/>
      <c r="DZ34" s="140"/>
      <c r="EA34" s="140"/>
      <c r="EB34" s="140"/>
      <c r="EC34" s="140"/>
      <c r="ED34" s="140"/>
      <c r="EE34" s="140"/>
      <c r="EF34" s="140"/>
      <c r="EG34" s="140"/>
      <c r="EH34" s="140"/>
      <c r="EI34" s="140"/>
      <c r="EJ34" s="140"/>
      <c r="EK34" s="140"/>
      <c r="EL34" s="140"/>
      <c r="EM34" s="140"/>
      <c r="EN34" s="140"/>
      <c r="EO34" s="140"/>
      <c r="EP34" s="140"/>
      <c r="EQ34" s="140"/>
      <c r="ER34" s="140"/>
      <c r="ES34" s="175"/>
      <c r="ET34" s="140"/>
      <c r="EU34" s="140"/>
      <c r="EV34" s="175"/>
      <c r="EW34" s="140"/>
      <c r="EX34" s="140"/>
      <c r="EY34" s="175"/>
      <c r="EZ34" s="140"/>
      <c r="FA34" s="140"/>
      <c r="FB34" s="175"/>
      <c r="FC34" s="140"/>
      <c r="FD34" s="140"/>
      <c r="FE34" s="140"/>
      <c r="FF34" s="140"/>
      <c r="FG34" s="140"/>
      <c r="FH34" s="140"/>
      <c r="FI34" s="140"/>
      <c r="FJ34" s="140"/>
      <c r="FK34" s="140"/>
      <c r="FL34" s="140"/>
      <c r="FM34" s="140"/>
      <c r="FN34" s="140"/>
      <c r="FO34" s="140"/>
      <c r="FP34" s="140"/>
      <c r="FQ34" s="140"/>
      <c r="FR34" s="140"/>
      <c r="FS34" s="140"/>
      <c r="FT34" s="140"/>
      <c r="FU34" s="140"/>
      <c r="FV34" s="140"/>
      <c r="FW34" s="140"/>
      <c r="FX34" s="140"/>
      <c r="FY34" s="140"/>
      <c r="FZ34" s="140"/>
      <c r="GA34" s="140"/>
      <c r="GB34" s="140"/>
      <c r="GC34" s="140"/>
      <c r="GD34" s="129"/>
      <c r="GE34" s="140"/>
      <c r="GF34" s="140"/>
      <c r="GG34" s="140"/>
      <c r="GH34" s="140"/>
      <c r="GI34" s="140"/>
      <c r="GJ34" s="140"/>
      <c r="GK34" s="140"/>
      <c r="GL34" s="140"/>
      <c r="GM34" s="64"/>
      <c r="GN34" s="64"/>
      <c r="GO34" s="64"/>
      <c r="GP34" s="64"/>
      <c r="GQ34" s="64"/>
      <c r="GR34" s="64"/>
      <c r="GS34" s="64"/>
      <c r="GT34" s="64"/>
      <c r="GU34" s="64"/>
      <c r="GV34" s="64"/>
      <c r="GW34" s="64"/>
      <c r="GX34" s="64"/>
    </row>
    <row r="35" spans="1:206">
      <c r="A35" s="174"/>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68"/>
      <c r="AH35" s="140"/>
      <c r="AI35" s="140"/>
      <c r="AJ35" s="140"/>
      <c r="AK35" s="140"/>
      <c r="AL35" s="140"/>
      <c r="AM35" s="140"/>
      <c r="AN35" s="140"/>
      <c r="AO35" s="140"/>
      <c r="AP35" s="140"/>
      <c r="AQ35" s="140"/>
      <c r="AR35" s="140"/>
      <c r="AS35" s="140"/>
      <c r="AT35" s="140"/>
      <c r="AU35" s="140"/>
      <c r="AV35" s="140"/>
      <c r="AW35" s="140"/>
      <c r="AX35" s="140"/>
      <c r="AY35" s="140"/>
      <c r="AZ35" s="140"/>
      <c r="BA35" s="140"/>
      <c r="BB35" s="140"/>
      <c r="BC35" s="140"/>
      <c r="BD35" s="140"/>
      <c r="BE35" s="140"/>
      <c r="BF35" s="140"/>
      <c r="BG35" s="140"/>
      <c r="BH35" s="140"/>
      <c r="BI35" s="140"/>
      <c r="BJ35" s="140"/>
      <c r="BK35" s="129"/>
      <c r="BL35" s="140"/>
      <c r="BM35" s="140"/>
      <c r="BN35" s="140"/>
      <c r="BO35" s="140"/>
      <c r="BP35" s="140"/>
      <c r="BQ35" s="140"/>
      <c r="BR35" s="140"/>
      <c r="BS35" s="140"/>
      <c r="BT35" s="140"/>
      <c r="BU35" s="140"/>
      <c r="BV35" s="140"/>
      <c r="BW35" s="140"/>
      <c r="BX35" s="140"/>
      <c r="BY35" s="140"/>
      <c r="BZ35" s="140"/>
      <c r="CA35" s="140"/>
      <c r="CB35" s="140"/>
      <c r="CC35" s="140"/>
      <c r="CD35" s="140"/>
      <c r="CE35" s="140"/>
      <c r="CF35" s="140"/>
      <c r="CG35" s="140"/>
      <c r="CH35" s="140"/>
      <c r="CI35" s="140"/>
      <c r="CJ35" s="140"/>
      <c r="CK35" s="140"/>
      <c r="CL35" s="140"/>
      <c r="CM35" s="140"/>
      <c r="CN35" s="140"/>
      <c r="CO35" s="140"/>
      <c r="CP35" s="140"/>
      <c r="CQ35" s="140"/>
      <c r="CR35" s="140"/>
      <c r="CS35" s="140"/>
      <c r="CT35" s="140"/>
      <c r="CU35" s="140"/>
      <c r="CV35" s="140"/>
      <c r="CW35" s="140"/>
      <c r="CX35" s="140"/>
      <c r="CY35" s="140"/>
      <c r="CZ35" s="140"/>
      <c r="DA35" s="140"/>
      <c r="DB35" s="140"/>
      <c r="DC35" s="140"/>
      <c r="DD35" s="140"/>
      <c r="DE35" s="140"/>
      <c r="DF35" s="140"/>
      <c r="DG35" s="140"/>
      <c r="DH35" s="140"/>
      <c r="DI35" s="140"/>
      <c r="DJ35" s="140"/>
      <c r="DK35" s="140"/>
      <c r="DL35" s="140"/>
      <c r="DM35" s="140"/>
      <c r="DN35" s="136"/>
      <c r="DO35" s="136"/>
      <c r="DP35" s="136"/>
      <c r="DQ35" s="136"/>
      <c r="DR35" s="140"/>
      <c r="DS35" s="140"/>
      <c r="DT35" s="140"/>
      <c r="DU35" s="140"/>
      <c r="DV35" s="129"/>
      <c r="DW35" s="129"/>
      <c r="DX35" s="129"/>
      <c r="DY35" s="129"/>
      <c r="DZ35" s="140"/>
      <c r="EA35" s="140"/>
      <c r="EB35" s="140"/>
      <c r="EC35" s="140"/>
      <c r="ED35" s="140"/>
      <c r="EE35" s="140"/>
      <c r="EF35" s="140"/>
      <c r="EG35" s="140"/>
      <c r="EH35" s="140"/>
      <c r="EI35" s="140"/>
      <c r="EJ35" s="140"/>
      <c r="EK35" s="140"/>
      <c r="EL35" s="140"/>
      <c r="EM35" s="140"/>
      <c r="EN35" s="140"/>
      <c r="EO35" s="140"/>
      <c r="EP35" s="140"/>
      <c r="EQ35" s="140"/>
      <c r="ER35" s="140"/>
      <c r="ES35" s="175"/>
      <c r="ET35" s="140"/>
      <c r="EU35" s="140"/>
      <c r="EV35" s="175"/>
      <c r="EW35" s="140"/>
      <c r="EX35" s="140"/>
      <c r="EY35" s="175"/>
      <c r="EZ35" s="140"/>
      <c r="FA35" s="140"/>
      <c r="FB35" s="175"/>
      <c r="FC35" s="140"/>
      <c r="FD35" s="140"/>
      <c r="FE35" s="140"/>
      <c r="FF35" s="140"/>
      <c r="FG35" s="140"/>
      <c r="FH35" s="140"/>
      <c r="FI35" s="140"/>
      <c r="FJ35" s="140"/>
      <c r="FK35" s="140"/>
      <c r="FL35" s="140"/>
      <c r="FM35" s="140"/>
      <c r="FN35" s="140"/>
      <c r="FO35" s="140"/>
      <c r="FP35" s="140"/>
      <c r="FQ35" s="140"/>
      <c r="FR35" s="140"/>
      <c r="FS35" s="140"/>
      <c r="FT35" s="140"/>
      <c r="FU35" s="140"/>
      <c r="FV35" s="140"/>
      <c r="FW35" s="140"/>
      <c r="FX35" s="140"/>
      <c r="FY35" s="140"/>
      <c r="FZ35" s="140"/>
      <c r="GA35" s="140"/>
      <c r="GB35" s="140"/>
      <c r="GC35" s="140"/>
      <c r="GD35" s="129"/>
      <c r="GE35" s="140"/>
      <c r="GF35" s="140"/>
      <c r="GG35" s="140"/>
      <c r="GH35" s="140"/>
      <c r="GI35" s="140"/>
      <c r="GJ35" s="140"/>
      <c r="GK35" s="140"/>
      <c r="GL35" s="140"/>
      <c r="GM35" s="64"/>
      <c r="GN35" s="64"/>
      <c r="GO35" s="64"/>
      <c r="GP35" s="64"/>
      <c r="GQ35" s="64"/>
      <c r="GR35" s="64"/>
      <c r="GS35" s="64"/>
      <c r="GT35" s="64"/>
      <c r="GU35" s="64"/>
      <c r="GV35" s="64"/>
      <c r="GW35" s="64"/>
      <c r="GX35" s="64"/>
    </row>
    <row r="36" spans="1:206">
      <c r="A36" s="174"/>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68"/>
      <c r="AH36" s="140"/>
      <c r="AI36" s="140"/>
      <c r="AJ36" s="140"/>
      <c r="AK36" s="140"/>
      <c r="AL36" s="140"/>
      <c r="AM36" s="140"/>
      <c r="AN36" s="140"/>
      <c r="AO36" s="140"/>
      <c r="AP36" s="140"/>
      <c r="AQ36" s="140"/>
      <c r="AR36" s="140"/>
      <c r="AS36" s="140"/>
      <c r="AT36" s="140"/>
      <c r="AU36" s="140"/>
      <c r="AV36" s="140"/>
      <c r="AW36" s="140"/>
      <c r="AX36" s="140"/>
      <c r="AY36" s="140"/>
      <c r="AZ36" s="140"/>
      <c r="BA36" s="140"/>
      <c r="BB36" s="140"/>
      <c r="BC36" s="140"/>
      <c r="BD36" s="140"/>
      <c r="BE36" s="140"/>
      <c r="BF36" s="140"/>
      <c r="BG36" s="140"/>
      <c r="BH36" s="140"/>
      <c r="BI36" s="140"/>
      <c r="BJ36" s="140"/>
      <c r="BK36" s="129"/>
      <c r="BL36" s="140"/>
      <c r="BM36" s="140"/>
      <c r="BN36" s="140"/>
      <c r="BO36" s="140"/>
      <c r="BP36" s="140"/>
      <c r="BQ36" s="140"/>
      <c r="BR36" s="140"/>
      <c r="BS36" s="140"/>
      <c r="BT36" s="140"/>
      <c r="BU36" s="140"/>
      <c r="BV36" s="140"/>
      <c r="BW36" s="140"/>
      <c r="BX36" s="140"/>
      <c r="BY36" s="140"/>
      <c r="BZ36" s="140"/>
      <c r="CA36" s="140"/>
      <c r="CB36" s="140"/>
      <c r="CC36" s="140"/>
      <c r="CD36" s="140"/>
      <c r="CE36" s="140"/>
      <c r="CF36" s="140"/>
      <c r="CG36" s="140"/>
      <c r="CH36" s="140"/>
      <c r="CI36" s="140"/>
      <c r="CJ36" s="140"/>
      <c r="CK36" s="140"/>
      <c r="CL36" s="140"/>
      <c r="CM36" s="140"/>
      <c r="CN36" s="140"/>
      <c r="CO36" s="140"/>
      <c r="CP36" s="140"/>
      <c r="CQ36" s="140"/>
      <c r="CR36" s="140"/>
      <c r="CS36" s="140"/>
      <c r="CT36" s="140"/>
      <c r="CU36" s="140"/>
      <c r="CV36" s="140"/>
      <c r="CW36" s="140"/>
      <c r="CX36" s="140"/>
      <c r="CY36" s="140"/>
      <c r="CZ36" s="140"/>
      <c r="DA36" s="140"/>
      <c r="DB36" s="140"/>
      <c r="DC36" s="140"/>
      <c r="DD36" s="140"/>
      <c r="DE36" s="140"/>
      <c r="DF36" s="140"/>
      <c r="DG36" s="140"/>
      <c r="DH36" s="140"/>
      <c r="DI36" s="140"/>
      <c r="DJ36" s="140"/>
      <c r="DK36" s="140"/>
      <c r="DL36" s="140"/>
      <c r="DM36" s="140"/>
      <c r="DN36" s="136"/>
      <c r="DO36" s="136"/>
      <c r="DP36" s="136"/>
      <c r="DQ36" s="136"/>
      <c r="DR36" s="140"/>
      <c r="DS36" s="140"/>
      <c r="DT36" s="140"/>
      <c r="DU36" s="140"/>
      <c r="DV36" s="129"/>
      <c r="DW36" s="129"/>
      <c r="DX36" s="129"/>
      <c r="DY36" s="129"/>
      <c r="DZ36" s="140"/>
      <c r="EA36" s="140"/>
      <c r="EB36" s="140"/>
      <c r="EC36" s="140"/>
      <c r="ED36" s="140"/>
      <c r="EE36" s="140"/>
      <c r="EF36" s="140"/>
      <c r="EG36" s="140"/>
      <c r="EH36" s="140"/>
      <c r="EI36" s="140"/>
      <c r="EJ36" s="140"/>
      <c r="EK36" s="140"/>
      <c r="EL36" s="140"/>
      <c r="EM36" s="140"/>
      <c r="EN36" s="140"/>
      <c r="EO36" s="140"/>
      <c r="EP36" s="140"/>
      <c r="EQ36" s="140"/>
      <c r="ER36" s="140"/>
      <c r="ES36" s="175"/>
      <c r="ET36" s="140"/>
      <c r="EU36" s="140"/>
      <c r="EV36" s="175"/>
      <c r="EW36" s="140"/>
      <c r="EX36" s="140"/>
      <c r="EY36" s="175"/>
      <c r="EZ36" s="140"/>
      <c r="FA36" s="140"/>
      <c r="FB36" s="175"/>
      <c r="FC36" s="140"/>
      <c r="FD36" s="140"/>
      <c r="FE36" s="140"/>
      <c r="FF36" s="140"/>
      <c r="FG36" s="140"/>
      <c r="FH36" s="140"/>
      <c r="FI36" s="140"/>
      <c r="FJ36" s="140"/>
      <c r="FK36" s="140"/>
      <c r="FL36" s="140"/>
      <c r="FM36" s="140"/>
      <c r="FN36" s="140"/>
      <c r="FO36" s="140"/>
      <c r="FP36" s="140"/>
      <c r="FQ36" s="140"/>
      <c r="FR36" s="140"/>
      <c r="FS36" s="140"/>
      <c r="FT36" s="140"/>
      <c r="FU36" s="140"/>
      <c r="FV36" s="140"/>
      <c r="FW36" s="140"/>
      <c r="FX36" s="140"/>
      <c r="FY36" s="140"/>
      <c r="FZ36" s="140"/>
      <c r="GA36" s="140"/>
      <c r="GB36" s="140"/>
      <c r="GC36" s="140"/>
      <c r="GD36" s="129"/>
      <c r="GE36" s="140"/>
      <c r="GF36" s="140"/>
      <c r="GG36" s="140"/>
      <c r="GH36" s="140"/>
      <c r="GI36" s="140"/>
      <c r="GJ36" s="140"/>
      <c r="GK36" s="140"/>
      <c r="GL36" s="140"/>
      <c r="GM36" s="64"/>
      <c r="GN36" s="64"/>
      <c r="GO36" s="64"/>
      <c r="GP36" s="64"/>
      <c r="GQ36" s="64"/>
      <c r="GR36" s="64"/>
      <c r="GS36" s="64"/>
      <c r="GT36" s="64"/>
      <c r="GU36" s="64"/>
      <c r="GV36" s="64"/>
      <c r="GW36" s="64"/>
      <c r="GX36" s="64"/>
    </row>
    <row r="37" spans="1:206">
      <c r="A37" s="174"/>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68"/>
      <c r="AH37" s="140"/>
      <c r="AI37" s="140"/>
      <c r="AJ37" s="140"/>
      <c r="AK37" s="140"/>
      <c r="AL37" s="140"/>
      <c r="AM37" s="140"/>
      <c r="AN37" s="140"/>
      <c r="AO37" s="140"/>
      <c r="AP37" s="140"/>
      <c r="AQ37" s="140"/>
      <c r="AR37" s="140"/>
      <c r="AS37" s="140"/>
      <c r="AT37" s="140"/>
      <c r="AU37" s="140"/>
      <c r="AV37" s="140"/>
      <c r="AW37" s="140"/>
      <c r="AX37" s="140"/>
      <c r="AY37" s="140"/>
      <c r="AZ37" s="140"/>
      <c r="BA37" s="140"/>
      <c r="BB37" s="140"/>
      <c r="BC37" s="140"/>
      <c r="BD37" s="140"/>
      <c r="BE37" s="140"/>
      <c r="BF37" s="140"/>
      <c r="BG37" s="140"/>
      <c r="BH37" s="140"/>
      <c r="BI37" s="140"/>
      <c r="BJ37" s="140"/>
      <c r="BK37" s="129"/>
      <c r="BL37" s="140"/>
      <c r="BM37" s="140"/>
      <c r="BN37" s="140"/>
      <c r="BO37" s="140"/>
      <c r="BP37" s="140"/>
      <c r="BQ37" s="140"/>
      <c r="BR37" s="140"/>
      <c r="BS37" s="140"/>
      <c r="BT37" s="140"/>
      <c r="BU37" s="140"/>
      <c r="BV37" s="140"/>
      <c r="BW37" s="140"/>
      <c r="BX37" s="140"/>
      <c r="BY37" s="140"/>
      <c r="BZ37" s="140"/>
      <c r="CA37" s="140"/>
      <c r="CB37" s="140"/>
      <c r="CC37" s="140"/>
      <c r="CD37" s="140"/>
      <c r="CE37" s="140"/>
      <c r="CF37" s="140"/>
      <c r="CG37" s="140"/>
      <c r="CH37" s="140"/>
      <c r="CI37" s="140"/>
      <c r="CJ37" s="140"/>
      <c r="CK37" s="140"/>
      <c r="CL37" s="140"/>
      <c r="CM37" s="140"/>
      <c r="CN37" s="140"/>
      <c r="CO37" s="140"/>
      <c r="CP37" s="140"/>
      <c r="CQ37" s="140"/>
      <c r="CR37" s="140"/>
      <c r="CS37" s="140"/>
      <c r="CT37" s="140"/>
      <c r="CU37" s="140"/>
      <c r="CV37" s="140"/>
      <c r="CW37" s="140"/>
      <c r="CX37" s="140"/>
      <c r="CY37" s="140"/>
      <c r="CZ37" s="140"/>
      <c r="DA37" s="140"/>
      <c r="DB37" s="140"/>
      <c r="DC37" s="140"/>
      <c r="DD37" s="140"/>
      <c r="DE37" s="140"/>
      <c r="DF37" s="140"/>
      <c r="DG37" s="140"/>
      <c r="DH37" s="140"/>
      <c r="DI37" s="140"/>
      <c r="DJ37" s="140"/>
      <c r="DK37" s="140"/>
      <c r="DL37" s="140"/>
      <c r="DM37" s="140"/>
      <c r="DN37" s="136"/>
      <c r="DO37" s="136"/>
      <c r="DP37" s="136"/>
      <c r="DQ37" s="136"/>
      <c r="DR37" s="140"/>
      <c r="DS37" s="140"/>
      <c r="DT37" s="140"/>
      <c r="DU37" s="140"/>
      <c r="DV37" s="129"/>
      <c r="DW37" s="129"/>
      <c r="DX37" s="129"/>
      <c r="DY37" s="129"/>
      <c r="DZ37" s="140"/>
      <c r="EA37" s="140"/>
      <c r="EB37" s="140"/>
      <c r="EC37" s="140"/>
      <c r="ED37" s="140"/>
      <c r="EE37" s="140"/>
      <c r="EF37" s="140"/>
      <c r="EG37" s="140"/>
      <c r="EH37" s="140"/>
      <c r="EI37" s="140"/>
      <c r="EJ37" s="140"/>
      <c r="EK37" s="140"/>
      <c r="EL37" s="140"/>
      <c r="EM37" s="140"/>
      <c r="EN37" s="140"/>
      <c r="EO37" s="140"/>
      <c r="EP37" s="140"/>
      <c r="EQ37" s="140"/>
      <c r="ER37" s="140"/>
      <c r="ES37" s="175"/>
      <c r="ET37" s="140"/>
      <c r="EU37" s="140"/>
      <c r="EV37" s="175"/>
      <c r="EW37" s="140"/>
      <c r="EX37" s="140"/>
      <c r="EY37" s="175"/>
      <c r="EZ37" s="140"/>
      <c r="FA37" s="140"/>
      <c r="FB37" s="175"/>
      <c r="FC37" s="140"/>
      <c r="FD37" s="140"/>
      <c r="FE37" s="140"/>
      <c r="FF37" s="140"/>
      <c r="FG37" s="140"/>
      <c r="FH37" s="140"/>
      <c r="FI37" s="140"/>
      <c r="FJ37" s="140"/>
      <c r="FK37" s="140"/>
      <c r="FL37" s="140"/>
      <c r="FM37" s="140"/>
      <c r="FN37" s="140"/>
      <c r="FO37" s="140"/>
      <c r="FP37" s="140"/>
      <c r="FQ37" s="140"/>
      <c r="FR37" s="140"/>
      <c r="FS37" s="140"/>
      <c r="FT37" s="140"/>
      <c r="FU37" s="140"/>
      <c r="FV37" s="140"/>
      <c r="FW37" s="140"/>
      <c r="FX37" s="140"/>
      <c r="FY37" s="140"/>
      <c r="FZ37" s="140"/>
      <c r="GA37" s="140"/>
      <c r="GB37" s="140"/>
      <c r="GC37" s="140"/>
      <c r="GD37" s="129"/>
      <c r="GE37" s="140"/>
      <c r="GF37" s="140"/>
      <c r="GG37" s="140"/>
      <c r="GH37" s="140"/>
      <c r="GI37" s="140"/>
      <c r="GJ37" s="140"/>
      <c r="GK37" s="140"/>
      <c r="GL37" s="140"/>
      <c r="GM37" s="64"/>
      <c r="GN37" s="64"/>
      <c r="GO37" s="64"/>
      <c r="GP37" s="64"/>
      <c r="GQ37" s="64"/>
      <c r="GR37" s="64"/>
      <c r="GS37" s="64"/>
      <c r="GT37" s="64"/>
      <c r="GU37" s="64"/>
      <c r="GV37" s="64"/>
      <c r="GW37" s="64"/>
      <c r="GX37" s="64"/>
    </row>
    <row r="38" spans="1:206">
      <c r="A38" s="174"/>
      <c r="B38" s="140"/>
      <c r="C38" s="140"/>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68"/>
      <c r="AH38" s="140"/>
      <c r="AI38" s="140"/>
      <c r="AJ38" s="140"/>
      <c r="AK38" s="140"/>
      <c r="AL38" s="140"/>
      <c r="AM38" s="140"/>
      <c r="AN38" s="140"/>
      <c r="AO38" s="140"/>
      <c r="AP38" s="140"/>
      <c r="AQ38" s="140"/>
      <c r="AR38" s="140"/>
      <c r="AS38" s="140"/>
      <c r="AT38" s="140"/>
      <c r="AU38" s="140"/>
      <c r="AV38" s="140"/>
      <c r="AW38" s="140"/>
      <c r="AX38" s="140"/>
      <c r="AY38" s="140"/>
      <c r="AZ38" s="140"/>
      <c r="BA38" s="140"/>
      <c r="BB38" s="140"/>
      <c r="BC38" s="140"/>
      <c r="BD38" s="140"/>
      <c r="BE38" s="140"/>
      <c r="BF38" s="140"/>
      <c r="BG38" s="140"/>
      <c r="BH38" s="140"/>
      <c r="BI38" s="140"/>
      <c r="BJ38" s="140"/>
      <c r="BK38" s="129"/>
      <c r="BL38" s="140"/>
      <c r="BM38" s="140"/>
      <c r="BN38" s="140"/>
      <c r="BO38" s="140"/>
      <c r="BP38" s="140"/>
      <c r="BQ38" s="140"/>
      <c r="BR38" s="140"/>
      <c r="BS38" s="140"/>
      <c r="BT38" s="140"/>
      <c r="BU38" s="140"/>
      <c r="BV38" s="140"/>
      <c r="BW38" s="140"/>
      <c r="BX38" s="140"/>
      <c r="BY38" s="140"/>
      <c r="BZ38" s="140"/>
      <c r="CA38" s="140"/>
      <c r="CB38" s="140"/>
      <c r="CC38" s="140"/>
      <c r="CD38" s="140"/>
      <c r="CE38" s="140"/>
      <c r="CF38" s="140"/>
      <c r="CG38" s="140"/>
      <c r="CH38" s="140"/>
      <c r="CI38" s="140"/>
      <c r="CJ38" s="140"/>
      <c r="CK38" s="140"/>
      <c r="CL38" s="140"/>
      <c r="CM38" s="140"/>
      <c r="CN38" s="140"/>
      <c r="CO38" s="140"/>
      <c r="CP38" s="140"/>
      <c r="CQ38" s="140"/>
      <c r="CR38" s="140"/>
      <c r="CS38" s="140"/>
      <c r="CT38" s="140"/>
      <c r="CU38" s="140"/>
      <c r="CV38" s="140"/>
      <c r="CW38" s="140"/>
      <c r="CX38" s="140"/>
      <c r="CY38" s="140"/>
      <c r="CZ38" s="140"/>
      <c r="DA38" s="140"/>
      <c r="DB38" s="140"/>
      <c r="DC38" s="140"/>
      <c r="DD38" s="140"/>
      <c r="DE38" s="140"/>
      <c r="DF38" s="140"/>
      <c r="DG38" s="140"/>
      <c r="DH38" s="140"/>
      <c r="DI38" s="140"/>
      <c r="DJ38" s="140"/>
      <c r="DK38" s="140"/>
      <c r="DL38" s="140"/>
      <c r="DM38" s="140"/>
      <c r="DN38" s="136"/>
      <c r="DO38" s="136"/>
      <c r="DP38" s="136"/>
      <c r="DQ38" s="136"/>
      <c r="DR38" s="140"/>
      <c r="DS38" s="140"/>
      <c r="DT38" s="140"/>
      <c r="DU38" s="140"/>
      <c r="DV38" s="129"/>
      <c r="DW38" s="129"/>
      <c r="DX38" s="129"/>
      <c r="DY38" s="129"/>
      <c r="DZ38" s="140"/>
      <c r="EA38" s="140"/>
      <c r="EB38" s="140"/>
      <c r="EC38" s="140"/>
      <c r="ED38" s="140"/>
      <c r="EE38" s="140"/>
      <c r="EF38" s="140"/>
      <c r="EG38" s="140"/>
      <c r="EH38" s="140"/>
      <c r="EI38" s="140"/>
      <c r="EJ38" s="140"/>
      <c r="EK38" s="140"/>
      <c r="EL38" s="140"/>
      <c r="EM38" s="140"/>
      <c r="EN38" s="140"/>
      <c r="EO38" s="140"/>
      <c r="EP38" s="140"/>
      <c r="EQ38" s="140"/>
      <c r="ER38" s="140"/>
      <c r="ES38" s="175"/>
      <c r="ET38" s="140"/>
      <c r="EU38" s="140"/>
      <c r="EV38" s="175"/>
      <c r="EW38" s="140"/>
      <c r="EX38" s="140"/>
      <c r="EY38" s="175"/>
      <c r="EZ38" s="140"/>
      <c r="FA38" s="140"/>
      <c r="FB38" s="175"/>
      <c r="FC38" s="140"/>
      <c r="FD38" s="140"/>
      <c r="FE38" s="140"/>
      <c r="FF38" s="140"/>
      <c r="FG38" s="140"/>
      <c r="FH38" s="140"/>
      <c r="FI38" s="140"/>
      <c r="FJ38" s="140"/>
      <c r="FK38" s="140"/>
      <c r="FL38" s="140"/>
      <c r="FM38" s="140"/>
      <c r="FN38" s="140"/>
      <c r="FO38" s="140"/>
      <c r="FP38" s="140"/>
      <c r="FQ38" s="140"/>
      <c r="FR38" s="140"/>
      <c r="FS38" s="140"/>
      <c r="FT38" s="140"/>
      <c r="FU38" s="140"/>
      <c r="FV38" s="140"/>
      <c r="FW38" s="140"/>
      <c r="FX38" s="140"/>
      <c r="FY38" s="140"/>
      <c r="FZ38" s="140"/>
      <c r="GA38" s="140"/>
      <c r="GB38" s="140"/>
      <c r="GC38" s="140"/>
      <c r="GD38" s="129"/>
      <c r="GE38" s="140"/>
      <c r="GF38" s="140"/>
      <c r="GG38" s="140"/>
      <c r="GH38" s="140"/>
      <c r="GI38" s="140"/>
      <c r="GJ38" s="140"/>
      <c r="GK38" s="140"/>
      <c r="GL38" s="140"/>
      <c r="GM38" s="64"/>
      <c r="GN38" s="64"/>
      <c r="GO38" s="64"/>
      <c r="GP38" s="64"/>
      <c r="GQ38" s="64"/>
      <c r="GR38" s="64"/>
      <c r="GS38" s="64"/>
      <c r="GT38" s="64"/>
      <c r="GU38" s="64"/>
      <c r="GV38" s="64"/>
      <c r="GW38" s="64"/>
      <c r="GX38" s="64"/>
    </row>
    <row r="39" spans="1:206">
      <c r="A39" s="174"/>
      <c r="B39" s="140"/>
      <c r="C39" s="140"/>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68"/>
      <c r="AH39" s="140"/>
      <c r="AI39" s="140"/>
      <c r="AJ39" s="140"/>
      <c r="AK39" s="140"/>
      <c r="AL39" s="140"/>
      <c r="AM39" s="140"/>
      <c r="AN39" s="140"/>
      <c r="AO39" s="140"/>
      <c r="AP39" s="140"/>
      <c r="AQ39" s="140"/>
      <c r="AR39" s="140"/>
      <c r="AS39" s="140"/>
      <c r="AT39" s="140"/>
      <c r="AU39" s="140"/>
      <c r="AV39" s="140"/>
      <c r="AW39" s="140"/>
      <c r="AX39" s="140"/>
      <c r="AY39" s="140"/>
      <c r="AZ39" s="140"/>
      <c r="BA39" s="140"/>
      <c r="BB39" s="140"/>
      <c r="BC39" s="140"/>
      <c r="BD39" s="140"/>
      <c r="BE39" s="140"/>
      <c r="BF39" s="140"/>
      <c r="BG39" s="140"/>
      <c r="BH39" s="140"/>
      <c r="BI39" s="140"/>
      <c r="BJ39" s="140"/>
      <c r="BK39" s="129"/>
      <c r="BL39" s="140"/>
      <c r="BM39" s="140"/>
      <c r="BN39" s="140"/>
      <c r="BO39" s="140"/>
      <c r="BP39" s="140"/>
      <c r="BQ39" s="140"/>
      <c r="BR39" s="140"/>
      <c r="BS39" s="140"/>
      <c r="BT39" s="140"/>
      <c r="BU39" s="140"/>
      <c r="BV39" s="140"/>
      <c r="BW39" s="140"/>
      <c r="BX39" s="140"/>
      <c r="BY39" s="140"/>
      <c r="BZ39" s="140"/>
      <c r="CA39" s="140"/>
      <c r="CB39" s="140"/>
      <c r="CC39" s="140"/>
      <c r="CD39" s="140"/>
      <c r="CE39" s="140"/>
      <c r="CF39" s="140"/>
      <c r="CG39" s="140"/>
      <c r="CH39" s="140"/>
      <c r="CI39" s="140"/>
      <c r="CJ39" s="140"/>
      <c r="CK39" s="140"/>
      <c r="CL39" s="140"/>
      <c r="CM39" s="140"/>
      <c r="CN39" s="140"/>
      <c r="CO39" s="140"/>
      <c r="CP39" s="140"/>
      <c r="CQ39" s="140"/>
      <c r="CR39" s="140"/>
      <c r="CS39" s="140"/>
      <c r="CT39" s="140"/>
      <c r="CU39" s="140"/>
      <c r="CV39" s="140"/>
      <c r="CW39" s="140"/>
      <c r="CX39" s="140"/>
      <c r="CY39" s="140"/>
      <c r="CZ39" s="140"/>
      <c r="DA39" s="140"/>
      <c r="DB39" s="140"/>
      <c r="DC39" s="140"/>
      <c r="DD39" s="140"/>
      <c r="DE39" s="140"/>
      <c r="DF39" s="140"/>
      <c r="DG39" s="140"/>
      <c r="DH39" s="140"/>
      <c r="DI39" s="140"/>
      <c r="DJ39" s="140"/>
      <c r="DK39" s="140"/>
      <c r="DL39" s="140"/>
      <c r="DM39" s="140"/>
      <c r="DN39" s="136"/>
      <c r="DO39" s="136"/>
      <c r="DP39" s="136"/>
      <c r="DQ39" s="136"/>
      <c r="DR39" s="140"/>
      <c r="DS39" s="140"/>
      <c r="DT39" s="140"/>
      <c r="DU39" s="140"/>
      <c r="DV39" s="129"/>
      <c r="DW39" s="129"/>
      <c r="DX39" s="129"/>
      <c r="DY39" s="129"/>
      <c r="DZ39" s="140"/>
      <c r="EA39" s="140"/>
      <c r="EB39" s="140"/>
      <c r="EC39" s="140"/>
      <c r="ED39" s="140"/>
      <c r="EE39" s="140"/>
      <c r="EF39" s="140"/>
      <c r="EG39" s="140"/>
      <c r="EH39" s="140"/>
      <c r="EI39" s="140"/>
      <c r="EJ39" s="140"/>
      <c r="EK39" s="140"/>
      <c r="EL39" s="140"/>
      <c r="EM39" s="140"/>
      <c r="EN39" s="140"/>
      <c r="EO39" s="140"/>
      <c r="EP39" s="140"/>
      <c r="EQ39" s="140"/>
      <c r="ER39" s="140"/>
      <c r="ES39" s="175"/>
      <c r="ET39" s="140"/>
      <c r="EU39" s="140"/>
      <c r="EV39" s="175"/>
      <c r="EW39" s="140"/>
      <c r="EX39" s="140"/>
      <c r="EY39" s="175"/>
      <c r="EZ39" s="140"/>
      <c r="FA39" s="140"/>
      <c r="FB39" s="175"/>
      <c r="FC39" s="140"/>
      <c r="FD39" s="140"/>
      <c r="FE39" s="140"/>
      <c r="FF39" s="140"/>
      <c r="FG39" s="140"/>
      <c r="FH39" s="140"/>
      <c r="FI39" s="140"/>
      <c r="FJ39" s="140"/>
      <c r="FK39" s="140"/>
      <c r="FL39" s="140"/>
      <c r="FM39" s="140"/>
      <c r="FN39" s="140"/>
      <c r="FO39" s="140"/>
      <c r="FP39" s="140"/>
      <c r="FQ39" s="140"/>
      <c r="FR39" s="140"/>
      <c r="FS39" s="140"/>
      <c r="FT39" s="140"/>
      <c r="FU39" s="140"/>
      <c r="FV39" s="140"/>
      <c r="FW39" s="140"/>
      <c r="FX39" s="140"/>
      <c r="FY39" s="140"/>
      <c r="FZ39" s="140"/>
      <c r="GA39" s="140"/>
      <c r="GB39" s="140"/>
      <c r="GC39" s="140"/>
      <c r="GD39" s="129"/>
      <c r="GE39" s="140"/>
      <c r="GF39" s="140"/>
      <c r="GG39" s="140"/>
      <c r="GH39" s="140"/>
      <c r="GI39" s="140"/>
      <c r="GJ39" s="140"/>
      <c r="GK39" s="140"/>
      <c r="GL39" s="140"/>
      <c r="GM39" s="64"/>
      <c r="GN39" s="64"/>
      <c r="GO39" s="64"/>
      <c r="GP39" s="64"/>
      <c r="GQ39" s="64"/>
      <c r="GR39" s="64"/>
      <c r="GS39" s="64"/>
      <c r="GT39" s="64"/>
      <c r="GU39" s="64"/>
      <c r="GV39" s="64"/>
      <c r="GW39" s="64"/>
      <c r="GX39" s="64"/>
    </row>
    <row r="40" spans="1:206">
      <c r="A40" s="174"/>
      <c r="B40" s="140"/>
      <c r="C40" s="140"/>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68"/>
      <c r="AH40" s="140"/>
      <c r="AI40" s="140"/>
      <c r="AJ40" s="140"/>
      <c r="AK40" s="140"/>
      <c r="AL40" s="140"/>
      <c r="AM40" s="140"/>
      <c r="AN40" s="140"/>
      <c r="AO40" s="140"/>
      <c r="AP40" s="140"/>
      <c r="AQ40" s="140"/>
      <c r="AR40" s="140"/>
      <c r="AS40" s="140"/>
      <c r="AT40" s="140"/>
      <c r="AU40" s="140"/>
      <c r="AV40" s="140"/>
      <c r="AW40" s="140"/>
      <c r="AX40" s="140"/>
      <c r="AY40" s="140"/>
      <c r="AZ40" s="140"/>
      <c r="BA40" s="140"/>
      <c r="BB40" s="140"/>
      <c r="BC40" s="140"/>
      <c r="BD40" s="140"/>
      <c r="BE40" s="140"/>
      <c r="BF40" s="140"/>
      <c r="BG40" s="140"/>
      <c r="BH40" s="140"/>
      <c r="BI40" s="140"/>
      <c r="BJ40" s="140"/>
      <c r="BK40" s="129"/>
      <c r="BL40" s="140"/>
      <c r="BM40" s="140"/>
      <c r="BN40" s="140"/>
      <c r="BO40" s="140"/>
      <c r="BP40" s="140"/>
      <c r="BQ40" s="140"/>
      <c r="BR40" s="140"/>
      <c r="BS40" s="140"/>
      <c r="BT40" s="140"/>
      <c r="BU40" s="140"/>
      <c r="BV40" s="140"/>
      <c r="BW40" s="140"/>
      <c r="BX40" s="140"/>
      <c r="BY40" s="140"/>
      <c r="BZ40" s="140"/>
      <c r="CA40" s="140"/>
      <c r="CB40" s="140"/>
      <c r="CC40" s="140"/>
      <c r="CD40" s="140"/>
      <c r="CE40" s="140"/>
      <c r="CF40" s="140"/>
      <c r="CG40" s="140"/>
      <c r="CH40" s="140"/>
      <c r="CI40" s="140"/>
      <c r="CJ40" s="140"/>
      <c r="CK40" s="140"/>
      <c r="CL40" s="140"/>
      <c r="CM40" s="140"/>
      <c r="CN40" s="140"/>
      <c r="CO40" s="140"/>
      <c r="CP40" s="140"/>
      <c r="CQ40" s="140"/>
      <c r="CR40" s="140"/>
      <c r="CS40" s="140"/>
      <c r="CT40" s="140"/>
      <c r="CU40" s="140"/>
      <c r="CV40" s="140"/>
      <c r="CW40" s="140"/>
      <c r="CX40" s="140"/>
      <c r="CY40" s="140"/>
      <c r="CZ40" s="140"/>
      <c r="DA40" s="140"/>
      <c r="DB40" s="140"/>
      <c r="DC40" s="140"/>
      <c r="DD40" s="140"/>
      <c r="DE40" s="140"/>
      <c r="DF40" s="140"/>
      <c r="DG40" s="140"/>
      <c r="DH40" s="140"/>
      <c r="DI40" s="140"/>
      <c r="DJ40" s="140"/>
      <c r="DK40" s="140"/>
      <c r="DL40" s="140"/>
      <c r="DM40" s="140"/>
      <c r="DN40" s="136"/>
      <c r="DO40" s="136"/>
      <c r="DP40" s="136"/>
      <c r="DQ40" s="136"/>
      <c r="DR40" s="140"/>
      <c r="DS40" s="140"/>
      <c r="DT40" s="140"/>
      <c r="DU40" s="140"/>
      <c r="DV40" s="129"/>
      <c r="DW40" s="129"/>
      <c r="DX40" s="129"/>
      <c r="DY40" s="129"/>
      <c r="DZ40" s="140"/>
      <c r="EA40" s="140"/>
      <c r="EB40" s="140"/>
      <c r="EC40" s="140"/>
      <c r="ED40" s="140"/>
      <c r="EE40" s="140"/>
      <c r="EF40" s="140"/>
      <c r="EG40" s="140"/>
      <c r="EH40" s="140"/>
      <c r="EI40" s="140"/>
      <c r="EJ40" s="140"/>
      <c r="EK40" s="140"/>
      <c r="EL40" s="140"/>
      <c r="EM40" s="140"/>
      <c r="EN40" s="140"/>
      <c r="EO40" s="140"/>
      <c r="EP40" s="140"/>
      <c r="EQ40" s="140"/>
      <c r="ER40" s="140"/>
      <c r="ES40" s="175"/>
      <c r="ET40" s="140"/>
      <c r="EU40" s="140"/>
      <c r="EV40" s="175"/>
      <c r="EW40" s="140"/>
      <c r="EX40" s="140"/>
      <c r="EY40" s="175"/>
      <c r="EZ40" s="140"/>
      <c r="FA40" s="140"/>
      <c r="FB40" s="175"/>
      <c r="FC40" s="140"/>
      <c r="FD40" s="140"/>
      <c r="FE40" s="140"/>
      <c r="FF40" s="140"/>
      <c r="FG40" s="140"/>
      <c r="FH40" s="140"/>
      <c r="FI40" s="140"/>
      <c r="FJ40" s="140"/>
      <c r="FK40" s="140"/>
      <c r="FL40" s="140"/>
      <c r="FM40" s="140"/>
      <c r="FN40" s="140"/>
      <c r="FO40" s="140"/>
      <c r="FP40" s="140"/>
      <c r="FQ40" s="140"/>
      <c r="FR40" s="140"/>
      <c r="FS40" s="140"/>
      <c r="FT40" s="140"/>
      <c r="FU40" s="140"/>
      <c r="FV40" s="140"/>
      <c r="FW40" s="140"/>
      <c r="FX40" s="140"/>
      <c r="FY40" s="140"/>
      <c r="FZ40" s="140"/>
      <c r="GA40" s="140"/>
      <c r="GB40" s="140"/>
      <c r="GC40" s="140"/>
      <c r="GD40" s="129"/>
      <c r="GE40" s="140"/>
      <c r="GF40" s="140"/>
      <c r="GG40" s="140"/>
      <c r="GH40" s="140"/>
      <c r="GI40" s="140"/>
      <c r="GJ40" s="140"/>
      <c r="GK40" s="140"/>
      <c r="GL40" s="140"/>
      <c r="GM40" s="64"/>
      <c r="GN40" s="64"/>
      <c r="GO40" s="64"/>
      <c r="GP40" s="64"/>
      <c r="GQ40" s="64"/>
      <c r="GR40" s="64"/>
      <c r="GS40" s="64"/>
      <c r="GT40" s="64"/>
      <c r="GU40" s="64"/>
      <c r="GV40" s="64"/>
      <c r="GW40" s="64"/>
      <c r="GX40" s="64"/>
    </row>
    <row r="41" spans="1:206">
      <c r="A41" s="174"/>
      <c r="B41" s="140"/>
      <c r="C41" s="140"/>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68"/>
      <c r="AH41" s="140"/>
      <c r="AI41" s="140"/>
      <c r="AJ41" s="140"/>
      <c r="AK41" s="140"/>
      <c r="AL41" s="140"/>
      <c r="AM41" s="140"/>
      <c r="AN41" s="140"/>
      <c r="AO41" s="140"/>
      <c r="AP41" s="140"/>
      <c r="AQ41" s="140"/>
      <c r="AR41" s="140"/>
      <c r="AS41" s="140"/>
      <c r="AT41" s="140"/>
      <c r="AU41" s="140"/>
      <c r="AV41" s="140"/>
      <c r="AW41" s="140"/>
      <c r="AX41" s="140"/>
      <c r="AY41" s="140"/>
      <c r="AZ41" s="140"/>
      <c r="BA41" s="140"/>
      <c r="BB41" s="140"/>
      <c r="BC41" s="140"/>
      <c r="BD41" s="140"/>
      <c r="BE41" s="140"/>
      <c r="BF41" s="140"/>
      <c r="BG41" s="140"/>
      <c r="BH41" s="140"/>
      <c r="BI41" s="140"/>
      <c r="BJ41" s="140"/>
      <c r="BK41" s="129"/>
      <c r="BL41" s="140"/>
      <c r="BM41" s="140"/>
      <c r="BN41" s="140"/>
      <c r="BO41" s="140"/>
      <c r="BP41" s="140"/>
      <c r="BQ41" s="140"/>
      <c r="BR41" s="140"/>
      <c r="BS41" s="140"/>
      <c r="BT41" s="140"/>
      <c r="BU41" s="140"/>
      <c r="BV41" s="140"/>
      <c r="BW41" s="140"/>
      <c r="BX41" s="140"/>
      <c r="BY41" s="140"/>
      <c r="BZ41" s="140"/>
      <c r="CA41" s="140"/>
      <c r="CB41" s="140"/>
      <c r="CC41" s="140"/>
      <c r="CD41" s="140"/>
      <c r="CE41" s="140"/>
      <c r="CF41" s="140"/>
      <c r="CG41" s="140"/>
      <c r="CH41" s="140"/>
      <c r="CI41" s="140"/>
      <c r="CJ41" s="140"/>
      <c r="CK41" s="140"/>
      <c r="CL41" s="140"/>
      <c r="CM41" s="140"/>
      <c r="CN41" s="140"/>
      <c r="CO41" s="140"/>
      <c r="CP41" s="140"/>
      <c r="CQ41" s="140"/>
      <c r="CR41" s="140"/>
      <c r="CS41" s="140"/>
      <c r="CT41" s="140"/>
      <c r="CU41" s="140"/>
      <c r="CV41" s="140"/>
      <c r="CW41" s="140"/>
      <c r="CX41" s="140"/>
      <c r="CY41" s="140"/>
      <c r="CZ41" s="140"/>
      <c r="DA41" s="140"/>
      <c r="DB41" s="140"/>
      <c r="DC41" s="140"/>
      <c r="DD41" s="140"/>
      <c r="DE41" s="140"/>
      <c r="DF41" s="140"/>
      <c r="DG41" s="140"/>
      <c r="DH41" s="140"/>
      <c r="DI41" s="140"/>
      <c r="DJ41" s="140"/>
      <c r="DK41" s="140"/>
      <c r="DL41" s="140"/>
      <c r="DM41" s="140"/>
      <c r="DN41" s="136"/>
      <c r="DO41" s="136"/>
      <c r="DP41" s="136"/>
      <c r="DQ41" s="136"/>
      <c r="DR41" s="140"/>
      <c r="DS41" s="140"/>
      <c r="DT41" s="140"/>
      <c r="DU41" s="140"/>
      <c r="DV41" s="129"/>
      <c r="DW41" s="129"/>
      <c r="DX41" s="129"/>
      <c r="DY41" s="129"/>
      <c r="DZ41" s="140"/>
      <c r="EA41" s="140"/>
      <c r="EB41" s="140"/>
      <c r="EC41" s="140"/>
      <c r="ED41" s="140"/>
      <c r="EE41" s="140"/>
      <c r="EF41" s="140"/>
      <c r="EG41" s="140"/>
      <c r="EH41" s="140"/>
      <c r="EI41" s="140"/>
      <c r="EJ41" s="140"/>
      <c r="EK41" s="140"/>
      <c r="EL41" s="140"/>
      <c r="EM41" s="140"/>
      <c r="EN41" s="140"/>
      <c r="EO41" s="140"/>
      <c r="EP41" s="140"/>
      <c r="EQ41" s="140"/>
      <c r="ER41" s="140"/>
      <c r="ES41" s="175"/>
      <c r="ET41" s="140"/>
      <c r="EU41" s="140"/>
      <c r="EV41" s="175"/>
      <c r="EW41" s="140"/>
      <c r="EX41" s="140"/>
      <c r="EY41" s="175"/>
      <c r="EZ41" s="140"/>
      <c r="FA41" s="140"/>
      <c r="FB41" s="175"/>
      <c r="FC41" s="140"/>
      <c r="FD41" s="140"/>
      <c r="FE41" s="140"/>
      <c r="FF41" s="140"/>
      <c r="FG41" s="140"/>
      <c r="FH41" s="140"/>
      <c r="FI41" s="140"/>
      <c r="FJ41" s="140"/>
      <c r="FK41" s="140"/>
      <c r="FL41" s="140"/>
      <c r="FM41" s="140"/>
      <c r="FN41" s="140"/>
      <c r="FO41" s="140"/>
      <c r="FP41" s="140"/>
      <c r="FQ41" s="140"/>
      <c r="FR41" s="140"/>
      <c r="FS41" s="140"/>
      <c r="FT41" s="140"/>
      <c r="FU41" s="140"/>
      <c r="FV41" s="140"/>
      <c r="FW41" s="140"/>
      <c r="FX41" s="140"/>
      <c r="FY41" s="140"/>
      <c r="FZ41" s="140"/>
      <c r="GA41" s="140"/>
      <c r="GB41" s="140"/>
      <c r="GC41" s="140"/>
      <c r="GD41" s="129"/>
      <c r="GE41" s="140"/>
      <c r="GF41" s="140"/>
      <c r="GG41" s="140"/>
      <c r="GH41" s="140"/>
      <c r="GI41" s="140"/>
      <c r="GJ41" s="140"/>
      <c r="GK41" s="140"/>
      <c r="GL41" s="140"/>
      <c r="GM41" s="64"/>
      <c r="GN41" s="64"/>
      <c r="GO41" s="64"/>
      <c r="GP41" s="64"/>
      <c r="GQ41" s="64"/>
      <c r="GR41" s="64"/>
      <c r="GS41" s="64"/>
      <c r="GT41" s="64"/>
      <c r="GU41" s="64"/>
      <c r="GV41" s="64"/>
      <c r="GW41" s="64"/>
      <c r="GX41" s="64"/>
    </row>
    <row r="42" spans="1:206">
      <c r="A42" s="174"/>
      <c r="B42" s="140"/>
      <c r="C42" s="140"/>
      <c r="D42" s="140"/>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68"/>
      <c r="AH42" s="140"/>
      <c r="AI42" s="140"/>
      <c r="AJ42" s="140"/>
      <c r="AK42" s="140"/>
      <c r="AL42" s="140"/>
      <c r="AM42" s="140"/>
      <c r="AN42" s="140"/>
      <c r="AO42" s="140"/>
      <c r="AP42" s="140"/>
      <c r="AQ42" s="140"/>
      <c r="AR42" s="140"/>
      <c r="AS42" s="140"/>
      <c r="AT42" s="140"/>
      <c r="AU42" s="140"/>
      <c r="AV42" s="140"/>
      <c r="AW42" s="140"/>
      <c r="AX42" s="140"/>
      <c r="AY42" s="140"/>
      <c r="AZ42" s="140"/>
      <c r="BA42" s="140"/>
      <c r="BB42" s="140"/>
      <c r="BC42" s="140"/>
      <c r="BD42" s="140"/>
      <c r="BE42" s="140"/>
      <c r="BF42" s="140"/>
      <c r="BG42" s="140"/>
      <c r="BH42" s="140"/>
      <c r="BI42" s="140"/>
      <c r="BJ42" s="140"/>
      <c r="BK42" s="129"/>
      <c r="BL42" s="140"/>
      <c r="BM42" s="140"/>
      <c r="BN42" s="140"/>
      <c r="BO42" s="140"/>
      <c r="BP42" s="140"/>
      <c r="BQ42" s="140"/>
      <c r="BR42" s="140"/>
      <c r="BS42" s="140"/>
      <c r="BT42" s="140"/>
      <c r="BU42" s="140"/>
      <c r="BV42" s="140"/>
      <c r="BW42" s="140"/>
      <c r="BX42" s="140"/>
      <c r="BY42" s="140"/>
      <c r="BZ42" s="140"/>
      <c r="CA42" s="140"/>
      <c r="CB42" s="140"/>
      <c r="CC42" s="140"/>
      <c r="CD42" s="140"/>
      <c r="CE42" s="140"/>
      <c r="CF42" s="140"/>
      <c r="CG42" s="140"/>
      <c r="CH42" s="140"/>
      <c r="CI42" s="140"/>
      <c r="CJ42" s="140"/>
      <c r="CK42" s="140"/>
      <c r="CL42" s="140"/>
      <c r="CM42" s="140"/>
      <c r="CN42" s="140"/>
      <c r="CO42" s="140"/>
      <c r="CP42" s="140"/>
      <c r="CQ42" s="140"/>
      <c r="CR42" s="140"/>
      <c r="CS42" s="140"/>
      <c r="CT42" s="140"/>
      <c r="CU42" s="140"/>
      <c r="CV42" s="140"/>
      <c r="CW42" s="140"/>
      <c r="CX42" s="140"/>
      <c r="CY42" s="140"/>
      <c r="CZ42" s="140"/>
      <c r="DA42" s="140"/>
      <c r="DB42" s="140"/>
      <c r="DC42" s="140"/>
      <c r="DD42" s="140"/>
      <c r="DE42" s="140"/>
      <c r="DF42" s="140"/>
      <c r="DG42" s="140"/>
      <c r="DH42" s="140"/>
      <c r="DI42" s="140"/>
      <c r="DJ42" s="140"/>
      <c r="DK42" s="140"/>
      <c r="DL42" s="140"/>
      <c r="DM42" s="140"/>
      <c r="DN42" s="136"/>
      <c r="DO42" s="136"/>
      <c r="DP42" s="136"/>
      <c r="DQ42" s="136"/>
      <c r="DR42" s="140"/>
      <c r="DS42" s="140"/>
      <c r="DT42" s="140"/>
      <c r="DU42" s="140"/>
      <c r="DV42" s="129"/>
      <c r="DW42" s="129"/>
      <c r="DX42" s="129"/>
      <c r="DY42" s="129"/>
      <c r="DZ42" s="140"/>
      <c r="EA42" s="140"/>
      <c r="EB42" s="140"/>
      <c r="EC42" s="140"/>
      <c r="ED42" s="140"/>
      <c r="EE42" s="140"/>
      <c r="EF42" s="140"/>
      <c r="EG42" s="140"/>
      <c r="EH42" s="140"/>
      <c r="EI42" s="140"/>
      <c r="EJ42" s="140"/>
      <c r="EK42" s="140"/>
      <c r="EL42" s="140"/>
      <c r="EM42" s="140"/>
      <c r="EN42" s="140"/>
      <c r="EO42" s="140"/>
      <c r="EP42" s="140"/>
      <c r="EQ42" s="140"/>
      <c r="ER42" s="140"/>
      <c r="ES42" s="175"/>
      <c r="ET42" s="140"/>
      <c r="EU42" s="140"/>
      <c r="EV42" s="175"/>
      <c r="EW42" s="140"/>
      <c r="EX42" s="140"/>
      <c r="EY42" s="175"/>
      <c r="EZ42" s="140"/>
      <c r="FA42" s="140"/>
      <c r="FB42" s="175"/>
      <c r="FC42" s="140"/>
      <c r="FD42" s="140"/>
      <c r="FE42" s="140"/>
      <c r="FF42" s="140"/>
      <c r="FG42" s="140"/>
      <c r="FH42" s="140"/>
      <c r="FI42" s="140"/>
      <c r="FJ42" s="140"/>
      <c r="FK42" s="140"/>
      <c r="FL42" s="140"/>
      <c r="FM42" s="140"/>
      <c r="FN42" s="140"/>
      <c r="FO42" s="140"/>
      <c r="FP42" s="140"/>
      <c r="FQ42" s="140"/>
      <c r="FR42" s="140"/>
      <c r="FS42" s="140"/>
      <c r="FT42" s="140"/>
      <c r="FU42" s="140"/>
      <c r="FV42" s="140"/>
      <c r="FW42" s="140"/>
      <c r="FX42" s="140"/>
      <c r="FY42" s="140"/>
      <c r="FZ42" s="140"/>
      <c r="GA42" s="140"/>
      <c r="GB42" s="140"/>
      <c r="GC42" s="140"/>
      <c r="GD42" s="129"/>
      <c r="GE42" s="140"/>
      <c r="GF42" s="140"/>
      <c r="GG42" s="140"/>
      <c r="GH42" s="140"/>
      <c r="GI42" s="140"/>
      <c r="GJ42" s="140"/>
      <c r="GK42" s="140"/>
      <c r="GL42" s="140"/>
      <c r="GM42" s="64"/>
      <c r="GN42" s="64"/>
      <c r="GO42" s="64"/>
      <c r="GP42" s="64"/>
      <c r="GQ42" s="64"/>
      <c r="GR42" s="64"/>
      <c r="GS42" s="64"/>
      <c r="GT42" s="64"/>
      <c r="GU42" s="64"/>
      <c r="GV42" s="64"/>
      <c r="GW42" s="64"/>
      <c r="GX42" s="64"/>
    </row>
    <row r="43" spans="1:206">
      <c r="A43" s="174"/>
      <c r="B43" s="140"/>
      <c r="C43" s="140"/>
      <c r="D43" s="140"/>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68"/>
      <c r="AH43" s="140"/>
      <c r="AI43" s="140"/>
      <c r="AJ43" s="140"/>
      <c r="AK43" s="140"/>
      <c r="AL43" s="140"/>
      <c r="AM43" s="140"/>
      <c r="AN43" s="140"/>
      <c r="AO43" s="140"/>
      <c r="AP43" s="140"/>
      <c r="AQ43" s="140"/>
      <c r="AR43" s="140"/>
      <c r="AS43" s="140"/>
      <c r="AT43" s="140"/>
      <c r="AU43" s="140"/>
      <c r="AV43" s="140"/>
      <c r="AW43" s="140"/>
      <c r="AX43" s="140"/>
      <c r="AY43" s="140"/>
      <c r="AZ43" s="140"/>
      <c r="BA43" s="140"/>
      <c r="BB43" s="140"/>
      <c r="BC43" s="140"/>
      <c r="BD43" s="140"/>
      <c r="BE43" s="140"/>
      <c r="BF43" s="140"/>
      <c r="BG43" s="140"/>
      <c r="BH43" s="140"/>
      <c r="BI43" s="140"/>
      <c r="BJ43" s="140"/>
      <c r="BK43" s="129"/>
      <c r="BL43" s="140"/>
      <c r="BM43" s="140"/>
      <c r="BN43" s="140"/>
      <c r="BO43" s="140"/>
      <c r="BP43" s="140"/>
      <c r="BQ43" s="140"/>
      <c r="BR43" s="140"/>
      <c r="BS43" s="140"/>
      <c r="BT43" s="140"/>
      <c r="BU43" s="140"/>
      <c r="BV43" s="140"/>
      <c r="BW43" s="140"/>
      <c r="BX43" s="140"/>
      <c r="BY43" s="140"/>
      <c r="BZ43" s="140"/>
      <c r="CA43" s="140"/>
      <c r="CB43" s="140"/>
      <c r="CC43" s="140"/>
      <c r="CD43" s="140"/>
      <c r="CE43" s="140"/>
      <c r="CF43" s="140"/>
      <c r="CG43" s="140"/>
      <c r="CH43" s="140"/>
      <c r="CI43" s="140"/>
      <c r="CJ43" s="140"/>
      <c r="CK43" s="140"/>
      <c r="CL43" s="140"/>
      <c r="CM43" s="140"/>
      <c r="CN43" s="140"/>
      <c r="CO43" s="140"/>
      <c r="CP43" s="140"/>
      <c r="CQ43" s="140"/>
      <c r="CR43" s="140"/>
      <c r="CS43" s="140"/>
      <c r="CT43" s="140"/>
      <c r="CU43" s="140"/>
      <c r="CV43" s="140"/>
      <c r="CW43" s="140"/>
      <c r="CX43" s="140"/>
      <c r="CY43" s="140"/>
      <c r="CZ43" s="140"/>
      <c r="DA43" s="140"/>
      <c r="DB43" s="140"/>
      <c r="DC43" s="140"/>
      <c r="DD43" s="140"/>
      <c r="DE43" s="140"/>
      <c r="DF43" s="140"/>
      <c r="DG43" s="140"/>
      <c r="DH43" s="140"/>
      <c r="DI43" s="140"/>
      <c r="DJ43" s="140"/>
      <c r="DK43" s="140"/>
      <c r="DL43" s="140"/>
      <c r="DM43" s="140"/>
      <c r="DN43" s="136"/>
      <c r="DO43" s="136"/>
      <c r="DP43" s="136"/>
      <c r="DQ43" s="136"/>
      <c r="DR43" s="140"/>
      <c r="DS43" s="140"/>
      <c r="DT43" s="140"/>
      <c r="DU43" s="140"/>
      <c r="DV43" s="129"/>
      <c r="DW43" s="129"/>
      <c r="DX43" s="129"/>
      <c r="DY43" s="129"/>
      <c r="DZ43" s="140"/>
      <c r="EA43" s="140"/>
      <c r="EB43" s="140"/>
      <c r="EC43" s="140"/>
      <c r="ED43" s="140"/>
      <c r="EE43" s="140"/>
      <c r="EF43" s="140"/>
      <c r="EG43" s="140"/>
      <c r="EH43" s="140"/>
      <c r="EI43" s="140"/>
      <c r="EJ43" s="140"/>
      <c r="EK43" s="140"/>
      <c r="EL43" s="140"/>
      <c r="EM43" s="140"/>
      <c r="EN43" s="140"/>
      <c r="EO43" s="140"/>
      <c r="EP43" s="140"/>
      <c r="EQ43" s="140"/>
      <c r="ER43" s="140"/>
      <c r="ES43" s="175"/>
      <c r="ET43" s="140"/>
      <c r="EU43" s="140"/>
      <c r="EV43" s="175"/>
      <c r="EW43" s="140"/>
      <c r="EX43" s="140"/>
      <c r="EY43" s="175"/>
      <c r="EZ43" s="140"/>
      <c r="FA43" s="140"/>
      <c r="FB43" s="175"/>
      <c r="FC43" s="140"/>
      <c r="FD43" s="140"/>
      <c r="FE43" s="140"/>
      <c r="FF43" s="140"/>
      <c r="FG43" s="140"/>
      <c r="FH43" s="140"/>
      <c r="FI43" s="140"/>
      <c r="FJ43" s="140"/>
      <c r="FK43" s="140"/>
      <c r="FL43" s="140"/>
      <c r="FM43" s="140"/>
      <c r="FN43" s="140"/>
      <c r="FO43" s="140"/>
      <c r="FP43" s="140"/>
      <c r="FQ43" s="140"/>
      <c r="FR43" s="140"/>
      <c r="FS43" s="140"/>
      <c r="FT43" s="140"/>
      <c r="FU43" s="140"/>
      <c r="FV43" s="140"/>
      <c r="FW43" s="140"/>
      <c r="FX43" s="140"/>
      <c r="FY43" s="140"/>
      <c r="FZ43" s="140"/>
      <c r="GA43" s="140"/>
      <c r="GB43" s="140"/>
      <c r="GC43" s="140"/>
      <c r="GD43" s="129"/>
      <c r="GE43" s="140"/>
      <c r="GF43" s="140"/>
      <c r="GG43" s="140"/>
      <c r="GH43" s="140"/>
      <c r="GI43" s="140"/>
      <c r="GJ43" s="140"/>
      <c r="GK43" s="140"/>
      <c r="GL43" s="140"/>
      <c r="GM43" s="64"/>
      <c r="GN43" s="64"/>
      <c r="GO43" s="64"/>
      <c r="GP43" s="64"/>
      <c r="GQ43" s="64"/>
      <c r="GR43" s="64"/>
      <c r="GS43" s="64"/>
      <c r="GT43" s="64"/>
      <c r="GU43" s="64"/>
      <c r="GV43" s="64"/>
      <c r="GW43" s="64"/>
      <c r="GX43" s="64"/>
    </row>
    <row r="44" spans="1:206">
      <c r="A44" s="174"/>
      <c r="B44" s="140"/>
      <c r="C44" s="140"/>
      <c r="D44" s="140"/>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68"/>
      <c r="AH44" s="140"/>
      <c r="AI44" s="140"/>
      <c r="AJ44" s="140"/>
      <c r="AK44" s="140"/>
      <c r="AL44" s="140"/>
      <c r="AM44" s="140"/>
      <c r="AN44" s="140"/>
      <c r="AO44" s="140"/>
      <c r="AP44" s="140"/>
      <c r="AQ44" s="140"/>
      <c r="AR44" s="140"/>
      <c r="AS44" s="140"/>
      <c r="AT44" s="140"/>
      <c r="AU44" s="140"/>
      <c r="AV44" s="140"/>
      <c r="AW44" s="140"/>
      <c r="AX44" s="140"/>
      <c r="AY44" s="140"/>
      <c r="AZ44" s="140"/>
      <c r="BA44" s="140"/>
      <c r="BB44" s="140"/>
      <c r="BC44" s="140"/>
      <c r="BD44" s="140"/>
      <c r="BE44" s="140"/>
      <c r="BF44" s="140"/>
      <c r="BG44" s="140"/>
      <c r="BH44" s="140"/>
      <c r="BI44" s="140"/>
      <c r="BJ44" s="140"/>
      <c r="BK44" s="129"/>
      <c r="BL44" s="140"/>
      <c r="BM44" s="140"/>
      <c r="BN44" s="140"/>
      <c r="BO44" s="140"/>
      <c r="BP44" s="140"/>
      <c r="BQ44" s="140"/>
      <c r="BR44" s="140"/>
      <c r="BS44" s="140"/>
      <c r="BT44" s="140"/>
      <c r="BU44" s="140"/>
      <c r="BV44" s="140"/>
      <c r="BW44" s="140"/>
      <c r="BX44" s="140"/>
      <c r="BY44" s="140"/>
      <c r="BZ44" s="140"/>
      <c r="CA44" s="140"/>
      <c r="CB44" s="140"/>
      <c r="CC44" s="140"/>
      <c r="CD44" s="140"/>
      <c r="CE44" s="140"/>
      <c r="CF44" s="140"/>
      <c r="CG44" s="140"/>
      <c r="CH44" s="140"/>
      <c r="CI44" s="140"/>
      <c r="CJ44" s="140"/>
      <c r="CK44" s="140"/>
      <c r="CL44" s="140"/>
      <c r="CM44" s="140"/>
      <c r="CN44" s="140"/>
      <c r="CO44" s="140"/>
      <c r="CP44" s="140"/>
      <c r="CQ44" s="140"/>
      <c r="CR44" s="140"/>
      <c r="CS44" s="140"/>
      <c r="CT44" s="140"/>
      <c r="CU44" s="140"/>
      <c r="CV44" s="140"/>
      <c r="CW44" s="140"/>
      <c r="CX44" s="140"/>
      <c r="CY44" s="140"/>
      <c r="CZ44" s="140"/>
      <c r="DA44" s="140"/>
      <c r="DB44" s="140"/>
      <c r="DC44" s="140"/>
      <c r="DD44" s="140"/>
      <c r="DE44" s="140"/>
      <c r="DF44" s="140"/>
      <c r="DG44" s="140"/>
      <c r="DH44" s="140"/>
      <c r="DI44" s="140"/>
      <c r="DJ44" s="140"/>
      <c r="DK44" s="140"/>
      <c r="DL44" s="140"/>
      <c r="DM44" s="140"/>
      <c r="DN44" s="136"/>
      <c r="DO44" s="136"/>
      <c r="DP44" s="136"/>
      <c r="DQ44" s="136"/>
      <c r="DR44" s="140"/>
      <c r="DS44" s="140"/>
      <c r="DT44" s="140"/>
      <c r="DU44" s="140"/>
      <c r="DV44" s="129"/>
      <c r="DW44" s="129"/>
      <c r="DX44" s="129"/>
      <c r="DY44" s="129"/>
      <c r="DZ44" s="140"/>
      <c r="EA44" s="140"/>
      <c r="EB44" s="140"/>
      <c r="EC44" s="140"/>
      <c r="ED44" s="140"/>
      <c r="EE44" s="140"/>
      <c r="EF44" s="140"/>
      <c r="EG44" s="140"/>
      <c r="EH44" s="140"/>
      <c r="EI44" s="140"/>
      <c r="EJ44" s="140"/>
      <c r="EK44" s="140"/>
      <c r="EL44" s="140"/>
      <c r="EM44" s="140"/>
      <c r="EN44" s="140"/>
      <c r="EO44" s="140"/>
      <c r="EP44" s="140"/>
      <c r="EQ44" s="140"/>
      <c r="ER44" s="140"/>
      <c r="ES44" s="175"/>
      <c r="ET44" s="140"/>
      <c r="EU44" s="140"/>
      <c r="EV44" s="175"/>
      <c r="EW44" s="140"/>
      <c r="EX44" s="140"/>
      <c r="EY44" s="175"/>
      <c r="EZ44" s="140"/>
      <c r="FA44" s="140"/>
      <c r="FB44" s="175"/>
      <c r="FC44" s="140"/>
      <c r="FD44" s="140"/>
      <c r="FE44" s="140"/>
      <c r="FF44" s="140"/>
      <c r="FG44" s="140"/>
      <c r="FH44" s="140"/>
      <c r="FI44" s="140"/>
      <c r="FJ44" s="140"/>
      <c r="FK44" s="140"/>
      <c r="FL44" s="140"/>
      <c r="FM44" s="140"/>
      <c r="FN44" s="140"/>
      <c r="FO44" s="140"/>
      <c r="FP44" s="140"/>
      <c r="FQ44" s="140"/>
      <c r="FR44" s="140"/>
      <c r="FS44" s="140"/>
      <c r="FT44" s="140"/>
      <c r="FU44" s="140"/>
      <c r="FV44" s="140"/>
      <c r="FW44" s="140"/>
      <c r="FX44" s="140"/>
      <c r="FY44" s="140"/>
      <c r="FZ44" s="140"/>
      <c r="GA44" s="140"/>
      <c r="GB44" s="140"/>
      <c r="GC44" s="140"/>
      <c r="GD44" s="129"/>
      <c r="GE44" s="140"/>
      <c r="GF44" s="140"/>
      <c r="GG44" s="140"/>
      <c r="GH44" s="140"/>
      <c r="GI44" s="140"/>
      <c r="GJ44" s="140"/>
      <c r="GK44" s="140"/>
      <c r="GL44" s="140"/>
      <c r="GM44" s="64"/>
      <c r="GN44" s="64"/>
      <c r="GO44" s="64"/>
      <c r="GP44" s="64"/>
      <c r="GQ44" s="64"/>
      <c r="GR44" s="64"/>
      <c r="GS44" s="64"/>
      <c r="GT44" s="64"/>
      <c r="GU44" s="64"/>
      <c r="GV44" s="64"/>
      <c r="GW44" s="64"/>
      <c r="GX44" s="64"/>
    </row>
    <row r="45" spans="1:206">
      <c r="A45" s="174"/>
      <c r="B45" s="140"/>
      <c r="C45" s="140"/>
      <c r="D45" s="140"/>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68"/>
      <c r="AH45" s="140"/>
      <c r="AI45" s="140"/>
      <c r="AJ45" s="140"/>
      <c r="AK45" s="140"/>
      <c r="AL45" s="140"/>
      <c r="AM45" s="140"/>
      <c r="AN45" s="140"/>
      <c r="AO45" s="140"/>
      <c r="AP45" s="140"/>
      <c r="AQ45" s="140"/>
      <c r="AR45" s="140"/>
      <c r="AS45" s="140"/>
      <c r="AT45" s="140"/>
      <c r="AU45" s="140"/>
      <c r="AV45" s="140"/>
      <c r="AW45" s="140"/>
      <c r="AX45" s="140"/>
      <c r="AY45" s="140"/>
      <c r="AZ45" s="140"/>
      <c r="BA45" s="140"/>
      <c r="BB45" s="140"/>
      <c r="BC45" s="140"/>
      <c r="BD45" s="140"/>
      <c r="BE45" s="140"/>
      <c r="BF45" s="140"/>
      <c r="BG45" s="140"/>
      <c r="BH45" s="140"/>
      <c r="BI45" s="140"/>
      <c r="BJ45" s="140"/>
      <c r="BK45" s="129"/>
      <c r="BL45" s="140"/>
      <c r="BM45" s="140"/>
      <c r="BN45" s="140"/>
      <c r="BO45" s="140"/>
      <c r="BP45" s="140"/>
      <c r="BQ45" s="140"/>
      <c r="BR45" s="140"/>
      <c r="BS45" s="140"/>
      <c r="BT45" s="140"/>
      <c r="BU45" s="140"/>
      <c r="BV45" s="140"/>
      <c r="BW45" s="140"/>
      <c r="BX45" s="140"/>
      <c r="BY45" s="140"/>
      <c r="BZ45" s="140"/>
      <c r="CA45" s="140"/>
      <c r="CB45" s="140"/>
      <c r="CC45" s="140"/>
      <c r="CD45" s="140"/>
      <c r="CE45" s="140"/>
      <c r="CF45" s="140"/>
      <c r="CG45" s="140"/>
      <c r="CH45" s="140"/>
      <c r="CI45" s="140"/>
      <c r="CJ45" s="140"/>
      <c r="CK45" s="140"/>
      <c r="CL45" s="140"/>
      <c r="CM45" s="140"/>
      <c r="CN45" s="140"/>
      <c r="CO45" s="140"/>
      <c r="CP45" s="140"/>
      <c r="CQ45" s="140"/>
      <c r="CR45" s="140"/>
      <c r="CS45" s="140"/>
      <c r="CT45" s="140"/>
      <c r="CU45" s="140"/>
      <c r="CV45" s="140"/>
      <c r="CW45" s="140"/>
      <c r="CX45" s="140"/>
      <c r="CY45" s="140"/>
      <c r="CZ45" s="140"/>
      <c r="DA45" s="140"/>
      <c r="DB45" s="140"/>
      <c r="DC45" s="140"/>
      <c r="DD45" s="140"/>
      <c r="DE45" s="140"/>
      <c r="DF45" s="140"/>
      <c r="DG45" s="140"/>
      <c r="DH45" s="140"/>
      <c r="DI45" s="140"/>
      <c r="DJ45" s="140"/>
      <c r="DK45" s="140"/>
      <c r="DL45" s="140"/>
      <c r="DM45" s="140"/>
      <c r="DN45" s="136"/>
      <c r="DO45" s="136"/>
      <c r="DP45" s="136"/>
      <c r="DQ45" s="136"/>
      <c r="DR45" s="140"/>
      <c r="DS45" s="140"/>
      <c r="DT45" s="140"/>
      <c r="DU45" s="140"/>
      <c r="DV45" s="129"/>
      <c r="DW45" s="129"/>
      <c r="DX45" s="129"/>
      <c r="DY45" s="129"/>
      <c r="DZ45" s="140"/>
      <c r="EA45" s="140"/>
      <c r="EB45" s="140"/>
      <c r="EC45" s="140"/>
      <c r="ED45" s="140"/>
      <c r="EE45" s="140"/>
      <c r="EF45" s="140"/>
      <c r="EG45" s="140"/>
      <c r="EH45" s="140"/>
      <c r="EI45" s="140"/>
      <c r="EJ45" s="140"/>
      <c r="EK45" s="140"/>
      <c r="EL45" s="140"/>
      <c r="EM45" s="140"/>
      <c r="EN45" s="140"/>
      <c r="EO45" s="140"/>
      <c r="EP45" s="140"/>
      <c r="EQ45" s="140"/>
      <c r="ER45" s="140"/>
      <c r="ES45" s="175"/>
      <c r="ET45" s="140"/>
      <c r="EU45" s="140"/>
      <c r="EV45" s="175"/>
      <c r="EW45" s="140"/>
      <c r="EX45" s="140"/>
      <c r="EY45" s="175"/>
      <c r="EZ45" s="140"/>
      <c r="FA45" s="140"/>
      <c r="FB45" s="175"/>
      <c r="FC45" s="140"/>
      <c r="FD45" s="140"/>
      <c r="FE45" s="140"/>
      <c r="FF45" s="140"/>
      <c r="FG45" s="140"/>
      <c r="FH45" s="140"/>
      <c r="FI45" s="140"/>
      <c r="FJ45" s="140"/>
      <c r="FK45" s="140"/>
      <c r="FL45" s="140"/>
      <c r="FM45" s="140"/>
      <c r="FN45" s="140"/>
      <c r="FO45" s="140"/>
      <c r="FP45" s="140"/>
      <c r="FQ45" s="140"/>
      <c r="FR45" s="140"/>
      <c r="FS45" s="140"/>
      <c r="FT45" s="140"/>
      <c r="FU45" s="140"/>
      <c r="FV45" s="140"/>
      <c r="FW45" s="140"/>
      <c r="FX45" s="140"/>
      <c r="FY45" s="140"/>
      <c r="FZ45" s="140"/>
      <c r="GA45" s="140"/>
      <c r="GB45" s="140"/>
      <c r="GC45" s="140"/>
      <c r="GD45" s="129"/>
      <c r="GE45" s="140"/>
      <c r="GF45" s="140"/>
      <c r="GG45" s="140"/>
      <c r="GH45" s="140"/>
      <c r="GI45" s="140"/>
      <c r="GJ45" s="140"/>
      <c r="GK45" s="140"/>
      <c r="GL45" s="140"/>
      <c r="GM45" s="64"/>
      <c r="GN45" s="64"/>
      <c r="GO45" s="64"/>
      <c r="GP45" s="64"/>
      <c r="GQ45" s="64"/>
      <c r="GR45" s="64"/>
      <c r="GS45" s="64"/>
      <c r="GT45" s="64"/>
      <c r="GU45" s="64"/>
      <c r="GV45" s="64"/>
      <c r="GW45" s="64"/>
      <c r="GX45" s="64"/>
    </row>
    <row r="46" spans="1:206">
      <c r="A46" s="174"/>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68"/>
      <c r="AH46" s="140"/>
      <c r="AI46" s="140"/>
      <c r="AJ46" s="140"/>
      <c r="AK46" s="140"/>
      <c r="AL46" s="140"/>
      <c r="AM46" s="140"/>
      <c r="AN46" s="140"/>
      <c r="AO46" s="140"/>
      <c r="AP46" s="140"/>
      <c r="AQ46" s="140"/>
      <c r="AR46" s="140"/>
      <c r="AS46" s="140"/>
      <c r="AT46" s="140"/>
      <c r="AU46" s="140"/>
      <c r="AV46" s="140"/>
      <c r="AW46" s="140"/>
      <c r="AX46" s="140"/>
      <c r="AY46" s="140"/>
      <c r="AZ46" s="140"/>
      <c r="BA46" s="140"/>
      <c r="BB46" s="140"/>
      <c r="BC46" s="140"/>
      <c r="BD46" s="140"/>
      <c r="BE46" s="140"/>
      <c r="BF46" s="140"/>
      <c r="BG46" s="140"/>
      <c r="BH46" s="140"/>
      <c r="BI46" s="140"/>
      <c r="BJ46" s="140"/>
      <c r="BK46" s="129"/>
      <c r="BL46" s="140"/>
      <c r="BM46" s="140"/>
      <c r="BN46" s="140"/>
      <c r="BO46" s="140"/>
      <c r="BP46" s="140"/>
      <c r="BQ46" s="140"/>
      <c r="BR46" s="140"/>
      <c r="BS46" s="140"/>
      <c r="BT46" s="140"/>
      <c r="BU46" s="140"/>
      <c r="BV46" s="140"/>
      <c r="BW46" s="140"/>
      <c r="BX46" s="140"/>
      <c r="BY46" s="140"/>
      <c r="BZ46" s="140"/>
      <c r="CA46" s="140"/>
      <c r="CB46" s="140"/>
      <c r="CC46" s="140"/>
      <c r="CD46" s="140"/>
      <c r="CE46" s="140"/>
      <c r="CF46" s="140"/>
      <c r="CG46" s="140"/>
      <c r="CH46" s="140"/>
      <c r="CI46" s="140"/>
      <c r="CJ46" s="140"/>
      <c r="CK46" s="140"/>
      <c r="CL46" s="140"/>
      <c r="CM46" s="140"/>
      <c r="CN46" s="140"/>
      <c r="CO46" s="140"/>
      <c r="CP46" s="140"/>
      <c r="CQ46" s="140"/>
      <c r="CR46" s="140"/>
      <c r="CS46" s="140"/>
      <c r="CT46" s="140"/>
      <c r="CU46" s="140"/>
      <c r="CV46" s="140"/>
      <c r="CW46" s="140"/>
      <c r="CX46" s="140"/>
      <c r="CY46" s="140"/>
      <c r="CZ46" s="140"/>
      <c r="DA46" s="140"/>
      <c r="DB46" s="140"/>
      <c r="DC46" s="140"/>
      <c r="DD46" s="140"/>
      <c r="DE46" s="140"/>
      <c r="DF46" s="140"/>
      <c r="DG46" s="140"/>
      <c r="DH46" s="140"/>
      <c r="DI46" s="140"/>
      <c r="DJ46" s="140"/>
      <c r="DK46" s="140"/>
      <c r="DL46" s="140"/>
      <c r="DM46" s="140"/>
      <c r="DN46" s="136"/>
      <c r="DO46" s="136"/>
      <c r="DP46" s="136"/>
      <c r="DQ46" s="136"/>
      <c r="DR46" s="140"/>
      <c r="DS46" s="140"/>
      <c r="DT46" s="140"/>
      <c r="DU46" s="140"/>
      <c r="DV46" s="129"/>
      <c r="DW46" s="129"/>
      <c r="DX46" s="129"/>
      <c r="DY46" s="129"/>
      <c r="DZ46" s="140"/>
      <c r="EA46" s="140"/>
      <c r="EB46" s="140"/>
      <c r="EC46" s="140"/>
      <c r="ED46" s="140"/>
      <c r="EE46" s="140"/>
      <c r="EF46" s="140"/>
      <c r="EG46" s="140"/>
      <c r="EH46" s="140"/>
      <c r="EI46" s="140"/>
      <c r="EJ46" s="140"/>
      <c r="EK46" s="140"/>
      <c r="EL46" s="140"/>
      <c r="EM46" s="140"/>
      <c r="EN46" s="140"/>
      <c r="EO46" s="140"/>
      <c r="EP46" s="140"/>
      <c r="EQ46" s="140"/>
      <c r="ER46" s="140"/>
      <c r="ES46" s="175"/>
      <c r="ET46" s="140"/>
      <c r="EU46" s="140"/>
      <c r="EV46" s="175"/>
      <c r="EW46" s="140"/>
      <c r="EX46" s="140"/>
      <c r="EY46" s="175"/>
      <c r="EZ46" s="140"/>
      <c r="FA46" s="140"/>
      <c r="FB46" s="175"/>
      <c r="FC46" s="140"/>
      <c r="FD46" s="140"/>
      <c r="FE46" s="140"/>
      <c r="FF46" s="140"/>
      <c r="FG46" s="140"/>
      <c r="FH46" s="140"/>
      <c r="FI46" s="140"/>
      <c r="FJ46" s="140"/>
      <c r="FK46" s="140"/>
      <c r="FL46" s="140"/>
      <c r="FM46" s="140"/>
      <c r="FN46" s="140"/>
      <c r="FO46" s="140"/>
      <c r="FP46" s="140"/>
      <c r="FQ46" s="140"/>
      <c r="FR46" s="140"/>
      <c r="FS46" s="140"/>
      <c r="FT46" s="140"/>
      <c r="FU46" s="140"/>
      <c r="FV46" s="140"/>
      <c r="FW46" s="140"/>
      <c r="FX46" s="140"/>
      <c r="FY46" s="140"/>
      <c r="FZ46" s="140"/>
      <c r="GA46" s="140"/>
      <c r="GB46" s="140"/>
      <c r="GC46" s="140"/>
      <c r="GD46" s="129"/>
      <c r="GE46" s="140"/>
      <c r="GF46" s="140"/>
      <c r="GG46" s="140"/>
      <c r="GH46" s="140"/>
      <c r="GI46" s="140"/>
      <c r="GJ46" s="140"/>
      <c r="GK46" s="140"/>
      <c r="GL46" s="140"/>
      <c r="GM46" s="64"/>
      <c r="GN46" s="64"/>
      <c r="GO46" s="64"/>
      <c r="GP46" s="64"/>
      <c r="GQ46" s="64"/>
      <c r="GR46" s="64"/>
      <c r="GS46" s="64"/>
      <c r="GT46" s="64"/>
      <c r="GU46" s="64"/>
      <c r="GV46" s="64"/>
      <c r="GW46" s="64"/>
      <c r="GX46" s="64"/>
    </row>
    <row r="47" spans="1:206">
      <c r="A47" s="174"/>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68"/>
      <c r="AH47" s="140"/>
      <c r="AI47" s="140"/>
      <c r="AJ47" s="140"/>
      <c r="AK47" s="140"/>
      <c r="AL47" s="140"/>
      <c r="AM47" s="140"/>
      <c r="AN47" s="140"/>
      <c r="AO47" s="140"/>
      <c r="AP47" s="140"/>
      <c r="AQ47" s="140"/>
      <c r="AR47" s="140"/>
      <c r="AS47" s="140"/>
      <c r="AT47" s="140"/>
      <c r="AU47" s="140"/>
      <c r="AV47" s="140"/>
      <c r="AW47" s="140"/>
      <c r="AX47" s="140"/>
      <c r="AY47" s="140"/>
      <c r="AZ47" s="140"/>
      <c r="BA47" s="140"/>
      <c r="BB47" s="140"/>
      <c r="BC47" s="140"/>
      <c r="BD47" s="140"/>
      <c r="BE47" s="140"/>
      <c r="BF47" s="140"/>
      <c r="BG47" s="140"/>
      <c r="BH47" s="140"/>
      <c r="BI47" s="140"/>
      <c r="BJ47" s="140"/>
      <c r="BK47" s="129"/>
      <c r="BL47" s="140"/>
      <c r="BM47" s="140"/>
      <c r="BN47" s="140"/>
      <c r="BO47" s="140"/>
      <c r="BP47" s="140"/>
      <c r="BQ47" s="140"/>
      <c r="BR47" s="140"/>
      <c r="BS47" s="140"/>
      <c r="BT47" s="140"/>
      <c r="BU47" s="140"/>
      <c r="BV47" s="140"/>
      <c r="BW47" s="140"/>
      <c r="BX47" s="140"/>
      <c r="BY47" s="140"/>
      <c r="BZ47" s="140"/>
      <c r="CA47" s="140"/>
      <c r="CB47" s="140"/>
      <c r="CC47" s="140"/>
      <c r="CD47" s="140"/>
      <c r="CE47" s="140"/>
      <c r="CF47" s="140"/>
      <c r="CG47" s="140"/>
      <c r="CH47" s="140"/>
      <c r="CI47" s="140"/>
      <c r="CJ47" s="140"/>
      <c r="CK47" s="140"/>
      <c r="CL47" s="140"/>
      <c r="CM47" s="140"/>
      <c r="CN47" s="140"/>
      <c r="CO47" s="140"/>
      <c r="CP47" s="140"/>
      <c r="CQ47" s="140"/>
      <c r="CR47" s="140"/>
      <c r="CS47" s="140"/>
      <c r="CT47" s="140"/>
      <c r="CU47" s="140"/>
      <c r="CV47" s="140"/>
      <c r="CW47" s="140"/>
      <c r="CX47" s="140"/>
      <c r="CY47" s="140"/>
      <c r="CZ47" s="140"/>
      <c r="DA47" s="140"/>
      <c r="DB47" s="140"/>
      <c r="DC47" s="140"/>
      <c r="DD47" s="140"/>
      <c r="DE47" s="140"/>
      <c r="DF47" s="140"/>
      <c r="DG47" s="140"/>
      <c r="DH47" s="140"/>
      <c r="DI47" s="140"/>
      <c r="DJ47" s="140"/>
      <c r="DK47" s="140"/>
      <c r="DL47" s="140"/>
      <c r="DM47" s="140"/>
      <c r="DN47" s="136"/>
      <c r="DO47" s="136"/>
      <c r="DP47" s="136"/>
      <c r="DQ47" s="136"/>
      <c r="DR47" s="140"/>
      <c r="DS47" s="140"/>
      <c r="DT47" s="140"/>
      <c r="DU47" s="140"/>
      <c r="DV47" s="129"/>
      <c r="DW47" s="129"/>
      <c r="DX47" s="129"/>
      <c r="DY47" s="129"/>
      <c r="DZ47" s="140"/>
      <c r="EA47" s="140"/>
      <c r="EB47" s="140"/>
      <c r="EC47" s="140"/>
      <c r="ED47" s="140"/>
      <c r="EE47" s="140"/>
      <c r="EF47" s="140"/>
      <c r="EG47" s="140"/>
      <c r="EH47" s="140"/>
      <c r="EI47" s="140"/>
      <c r="EJ47" s="140"/>
      <c r="EK47" s="140"/>
      <c r="EL47" s="140"/>
      <c r="EM47" s="140"/>
      <c r="EN47" s="140"/>
      <c r="EO47" s="140"/>
      <c r="EP47" s="140"/>
      <c r="EQ47" s="140"/>
      <c r="ER47" s="140"/>
      <c r="ES47" s="175"/>
      <c r="ET47" s="140"/>
      <c r="EU47" s="140"/>
      <c r="EV47" s="175"/>
      <c r="EW47" s="140"/>
      <c r="EX47" s="140"/>
      <c r="EY47" s="175"/>
      <c r="EZ47" s="140"/>
      <c r="FA47" s="140"/>
      <c r="FB47" s="175"/>
      <c r="FC47" s="140"/>
      <c r="FD47" s="140"/>
      <c r="FE47" s="140"/>
      <c r="FF47" s="140"/>
      <c r="FG47" s="140"/>
      <c r="FH47" s="140"/>
      <c r="FI47" s="140"/>
      <c r="FJ47" s="140"/>
      <c r="FK47" s="140"/>
      <c r="FL47" s="140"/>
      <c r="FM47" s="140"/>
      <c r="FN47" s="140"/>
      <c r="FO47" s="140"/>
      <c r="FP47" s="140"/>
      <c r="FQ47" s="140"/>
      <c r="FR47" s="140"/>
      <c r="FS47" s="140"/>
      <c r="FT47" s="140"/>
      <c r="FU47" s="140"/>
      <c r="FV47" s="140"/>
      <c r="FW47" s="140"/>
      <c r="FX47" s="140"/>
      <c r="FY47" s="140"/>
      <c r="FZ47" s="140"/>
      <c r="GA47" s="140"/>
      <c r="GB47" s="140"/>
      <c r="GC47" s="140"/>
      <c r="GD47" s="129"/>
      <c r="GE47" s="140"/>
      <c r="GF47" s="140"/>
      <c r="GG47" s="140"/>
      <c r="GH47" s="140"/>
      <c r="GI47" s="140"/>
      <c r="GJ47" s="140"/>
      <c r="GK47" s="140"/>
      <c r="GL47" s="140"/>
      <c r="GM47" s="64"/>
      <c r="GN47" s="64"/>
      <c r="GO47" s="64"/>
      <c r="GP47" s="64"/>
      <c r="GQ47" s="64"/>
      <c r="GR47" s="64"/>
      <c r="GS47" s="64"/>
      <c r="GT47" s="64"/>
      <c r="GU47" s="64"/>
      <c r="GV47" s="64"/>
      <c r="GW47" s="64"/>
      <c r="GX47" s="64"/>
    </row>
    <row r="48" spans="1:206">
      <c r="A48" s="174"/>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68"/>
      <c r="AH48" s="140"/>
      <c r="AI48" s="140"/>
      <c r="AJ48" s="140"/>
      <c r="AK48" s="140"/>
      <c r="AL48" s="140"/>
      <c r="AM48" s="140"/>
      <c r="AN48" s="140"/>
      <c r="AO48" s="140"/>
      <c r="AP48" s="140"/>
      <c r="AQ48" s="140"/>
      <c r="AR48" s="140"/>
      <c r="AS48" s="140"/>
      <c r="AT48" s="140"/>
      <c r="AU48" s="140"/>
      <c r="AV48" s="140"/>
      <c r="AW48" s="140"/>
      <c r="AX48" s="140"/>
      <c r="AY48" s="140"/>
      <c r="AZ48" s="140"/>
      <c r="BA48" s="140"/>
      <c r="BB48" s="140"/>
      <c r="BC48" s="140"/>
      <c r="BD48" s="140"/>
      <c r="BE48" s="140"/>
      <c r="BF48" s="140"/>
      <c r="BG48" s="140"/>
      <c r="BH48" s="140"/>
      <c r="BI48" s="140"/>
      <c r="BJ48" s="140"/>
      <c r="BK48" s="129"/>
      <c r="BL48" s="140"/>
      <c r="BM48" s="140"/>
      <c r="BN48" s="140"/>
      <c r="BO48" s="140"/>
      <c r="BP48" s="140"/>
      <c r="BQ48" s="140"/>
      <c r="BR48" s="140"/>
      <c r="BS48" s="140"/>
      <c r="BT48" s="140"/>
      <c r="BU48" s="140"/>
      <c r="BV48" s="140"/>
      <c r="BW48" s="140"/>
      <c r="BX48" s="140"/>
      <c r="BY48" s="140"/>
      <c r="BZ48" s="140"/>
      <c r="CA48" s="140"/>
      <c r="CB48" s="140"/>
      <c r="CC48" s="140"/>
      <c r="CD48" s="140"/>
      <c r="CE48" s="140"/>
      <c r="CF48" s="140"/>
      <c r="CG48" s="140"/>
      <c r="CH48" s="140"/>
      <c r="CI48" s="140"/>
      <c r="CJ48" s="140"/>
      <c r="CK48" s="140"/>
      <c r="CL48" s="140"/>
      <c r="CM48" s="140"/>
      <c r="CN48" s="140"/>
      <c r="CO48" s="140"/>
      <c r="CP48" s="140"/>
      <c r="CQ48" s="140"/>
      <c r="CR48" s="140"/>
      <c r="CS48" s="140"/>
      <c r="CT48" s="140"/>
      <c r="CU48" s="140"/>
      <c r="CV48" s="140"/>
      <c r="CW48" s="140"/>
      <c r="CX48" s="140"/>
      <c r="CY48" s="140"/>
      <c r="CZ48" s="140"/>
      <c r="DA48" s="140"/>
      <c r="DB48" s="140"/>
      <c r="DC48" s="140"/>
      <c r="DD48" s="140"/>
      <c r="DE48" s="140"/>
      <c r="DF48" s="140"/>
      <c r="DG48" s="140"/>
      <c r="DH48" s="140"/>
      <c r="DI48" s="140"/>
      <c r="DJ48" s="140"/>
      <c r="DK48" s="140"/>
      <c r="DL48" s="140"/>
      <c r="DM48" s="140"/>
      <c r="DN48" s="136"/>
      <c r="DO48" s="136"/>
      <c r="DP48" s="136"/>
      <c r="DQ48" s="136"/>
      <c r="DR48" s="140"/>
      <c r="DS48" s="140"/>
      <c r="DT48" s="140"/>
      <c r="DU48" s="140"/>
      <c r="DV48" s="129"/>
      <c r="DW48" s="129"/>
      <c r="DX48" s="129"/>
      <c r="DY48" s="129"/>
      <c r="DZ48" s="140"/>
      <c r="EA48" s="140"/>
      <c r="EB48" s="140"/>
      <c r="EC48" s="140"/>
      <c r="ED48" s="140"/>
      <c r="EE48" s="140"/>
      <c r="EF48" s="140"/>
      <c r="EG48" s="140"/>
      <c r="EH48" s="140"/>
      <c r="EI48" s="140"/>
      <c r="EJ48" s="140"/>
      <c r="EK48" s="140"/>
      <c r="EL48" s="140"/>
      <c r="EM48" s="140"/>
      <c r="EN48" s="140"/>
      <c r="EO48" s="140"/>
      <c r="EP48" s="140"/>
      <c r="EQ48" s="140"/>
      <c r="ER48" s="140"/>
      <c r="ES48" s="175"/>
      <c r="ET48" s="140"/>
      <c r="EU48" s="140"/>
      <c r="EV48" s="175"/>
      <c r="EW48" s="140"/>
      <c r="EX48" s="140"/>
      <c r="EY48" s="175"/>
      <c r="EZ48" s="140"/>
      <c r="FA48" s="140"/>
      <c r="FB48" s="175"/>
      <c r="FC48" s="140"/>
      <c r="FD48" s="140"/>
      <c r="FE48" s="140"/>
      <c r="FF48" s="140"/>
      <c r="FG48" s="140"/>
      <c r="FH48" s="140"/>
      <c r="FI48" s="140"/>
      <c r="FJ48" s="140"/>
      <c r="FK48" s="140"/>
      <c r="FL48" s="140"/>
      <c r="FM48" s="140"/>
      <c r="FN48" s="140"/>
      <c r="FO48" s="140"/>
      <c r="FP48" s="140"/>
      <c r="FQ48" s="140"/>
      <c r="FR48" s="140"/>
      <c r="FS48" s="140"/>
      <c r="FT48" s="140"/>
      <c r="FU48" s="140"/>
      <c r="FV48" s="140"/>
      <c r="FW48" s="140"/>
      <c r="FX48" s="140"/>
      <c r="FY48" s="140"/>
      <c r="FZ48" s="140"/>
      <c r="GA48" s="140"/>
      <c r="GB48" s="140"/>
      <c r="GC48" s="140"/>
      <c r="GD48" s="129"/>
      <c r="GE48" s="140"/>
      <c r="GF48" s="140"/>
      <c r="GG48" s="140"/>
      <c r="GH48" s="140"/>
      <c r="GI48" s="140"/>
      <c r="GJ48" s="140"/>
      <c r="GK48" s="140"/>
      <c r="GL48" s="140"/>
      <c r="GM48" s="64"/>
      <c r="GN48" s="64"/>
      <c r="GO48" s="64"/>
      <c r="GP48" s="64"/>
      <c r="GQ48" s="64"/>
      <c r="GR48" s="64"/>
      <c r="GS48" s="64"/>
      <c r="GT48" s="64"/>
      <c r="GU48" s="64"/>
      <c r="GV48" s="64"/>
      <c r="GW48" s="64"/>
      <c r="GX48" s="64"/>
    </row>
    <row r="49" spans="1:206">
      <c r="A49" s="174"/>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68"/>
      <c r="AH49" s="140"/>
      <c r="AI49" s="140"/>
      <c r="AJ49" s="140"/>
      <c r="AK49" s="140"/>
      <c r="AL49" s="140"/>
      <c r="AM49" s="140"/>
      <c r="AN49" s="140"/>
      <c r="AO49" s="140"/>
      <c r="AP49" s="140"/>
      <c r="AQ49" s="140"/>
      <c r="AR49" s="140"/>
      <c r="AS49" s="140"/>
      <c r="AT49" s="140"/>
      <c r="AU49" s="140"/>
      <c r="AV49" s="140"/>
      <c r="AW49" s="140"/>
      <c r="AX49" s="140"/>
      <c r="AY49" s="140"/>
      <c r="AZ49" s="140"/>
      <c r="BA49" s="140"/>
      <c r="BB49" s="140"/>
      <c r="BC49" s="140"/>
      <c r="BD49" s="140"/>
      <c r="BE49" s="140"/>
      <c r="BF49" s="140"/>
      <c r="BG49" s="140"/>
      <c r="BH49" s="140"/>
      <c r="BI49" s="140"/>
      <c r="BJ49" s="140"/>
      <c r="BK49" s="129"/>
      <c r="BL49" s="140"/>
      <c r="BM49" s="140"/>
      <c r="BN49" s="140"/>
      <c r="BO49" s="140"/>
      <c r="BP49" s="140"/>
      <c r="BQ49" s="140"/>
      <c r="BR49" s="140"/>
      <c r="BS49" s="140"/>
      <c r="BT49" s="140"/>
      <c r="BU49" s="140"/>
      <c r="BV49" s="140"/>
      <c r="BW49" s="140"/>
      <c r="BX49" s="140"/>
      <c r="BY49" s="140"/>
      <c r="BZ49" s="140"/>
      <c r="CA49" s="140"/>
      <c r="CB49" s="140"/>
      <c r="CC49" s="140"/>
      <c r="CD49" s="140"/>
      <c r="CE49" s="140"/>
      <c r="CF49" s="140"/>
      <c r="CG49" s="140"/>
      <c r="CH49" s="140"/>
      <c r="CI49" s="140"/>
      <c r="CJ49" s="140"/>
      <c r="CK49" s="140"/>
      <c r="CL49" s="140"/>
      <c r="CM49" s="140"/>
      <c r="CN49" s="140"/>
      <c r="CO49" s="140"/>
      <c r="CP49" s="140"/>
      <c r="CQ49" s="140"/>
      <c r="CR49" s="140"/>
      <c r="CS49" s="140"/>
      <c r="CT49" s="140"/>
      <c r="CU49" s="140"/>
      <c r="CV49" s="140"/>
      <c r="CW49" s="140"/>
      <c r="CX49" s="140"/>
      <c r="CY49" s="140"/>
      <c r="CZ49" s="140"/>
      <c r="DA49" s="140"/>
      <c r="DB49" s="140"/>
      <c r="DC49" s="140"/>
      <c r="DD49" s="140"/>
      <c r="DE49" s="140"/>
      <c r="DF49" s="140"/>
      <c r="DG49" s="140"/>
      <c r="DH49" s="140"/>
      <c r="DI49" s="140"/>
      <c r="DJ49" s="140"/>
      <c r="DK49" s="140"/>
      <c r="DL49" s="140"/>
      <c r="DM49" s="140"/>
      <c r="DN49" s="136"/>
      <c r="DO49" s="136"/>
      <c r="DP49" s="136"/>
      <c r="DQ49" s="136"/>
      <c r="DR49" s="140"/>
      <c r="DS49" s="140"/>
      <c r="DT49" s="140"/>
      <c r="DU49" s="140"/>
      <c r="DV49" s="129"/>
      <c r="DW49" s="129"/>
      <c r="DX49" s="129"/>
      <c r="DY49" s="129"/>
      <c r="DZ49" s="140"/>
      <c r="EA49" s="140"/>
      <c r="EB49" s="140"/>
      <c r="EC49" s="140"/>
      <c r="ED49" s="140"/>
      <c r="EE49" s="140"/>
      <c r="EF49" s="140"/>
      <c r="EG49" s="140"/>
      <c r="EH49" s="140"/>
      <c r="EI49" s="140"/>
      <c r="EJ49" s="140"/>
      <c r="EK49" s="140"/>
      <c r="EL49" s="140"/>
      <c r="EM49" s="140"/>
      <c r="EN49" s="140"/>
      <c r="EO49" s="140"/>
      <c r="EP49" s="140"/>
      <c r="EQ49" s="140"/>
      <c r="ER49" s="140"/>
      <c r="ES49" s="175"/>
      <c r="ET49" s="140"/>
      <c r="EU49" s="140"/>
      <c r="EV49" s="175"/>
      <c r="EW49" s="140"/>
      <c r="EX49" s="140"/>
      <c r="EY49" s="175"/>
      <c r="EZ49" s="140"/>
      <c r="FA49" s="140"/>
      <c r="FB49" s="175"/>
      <c r="FC49" s="140"/>
      <c r="FD49" s="140"/>
      <c r="FE49" s="140"/>
      <c r="FF49" s="140"/>
      <c r="FG49" s="140"/>
      <c r="FH49" s="140"/>
      <c r="FI49" s="140"/>
      <c r="FJ49" s="140"/>
      <c r="FK49" s="140"/>
      <c r="FL49" s="140"/>
      <c r="FM49" s="140"/>
      <c r="FN49" s="140"/>
      <c r="FO49" s="140"/>
      <c r="FP49" s="140"/>
      <c r="FQ49" s="140"/>
      <c r="FR49" s="140"/>
      <c r="FS49" s="140"/>
      <c r="FT49" s="140"/>
      <c r="FU49" s="140"/>
      <c r="FV49" s="140"/>
      <c r="FW49" s="140"/>
      <c r="FX49" s="140"/>
      <c r="FY49" s="140"/>
      <c r="FZ49" s="140"/>
      <c r="GA49" s="140"/>
      <c r="GB49" s="140"/>
      <c r="GC49" s="140"/>
      <c r="GD49" s="129"/>
      <c r="GE49" s="140"/>
      <c r="GF49" s="140"/>
      <c r="GG49" s="140"/>
      <c r="GH49" s="140"/>
      <c r="GI49" s="140"/>
      <c r="GJ49" s="140"/>
      <c r="GK49" s="140"/>
      <c r="GL49" s="140"/>
      <c r="GM49" s="64"/>
      <c r="GN49" s="64"/>
      <c r="GO49" s="64"/>
      <c r="GP49" s="64"/>
      <c r="GQ49" s="64"/>
      <c r="GR49" s="64"/>
      <c r="GS49" s="64"/>
      <c r="GT49" s="64"/>
      <c r="GU49" s="64"/>
      <c r="GV49" s="64"/>
      <c r="GW49" s="64"/>
      <c r="GX49" s="64"/>
    </row>
    <row r="50" spans="1:206">
      <c r="A50" s="174"/>
      <c r="B50" s="140"/>
      <c r="C50" s="140"/>
      <c r="D50" s="140"/>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68"/>
      <c r="AH50" s="140"/>
      <c r="AI50" s="140"/>
      <c r="AJ50" s="140"/>
      <c r="AK50" s="140"/>
      <c r="AL50" s="140"/>
      <c r="AM50" s="140"/>
      <c r="AN50" s="140"/>
      <c r="AO50" s="140"/>
      <c r="AP50" s="140"/>
      <c r="AQ50" s="140"/>
      <c r="AR50" s="140"/>
      <c r="AS50" s="140"/>
      <c r="AT50" s="140"/>
      <c r="AU50" s="140"/>
      <c r="AV50" s="140"/>
      <c r="AW50" s="140"/>
      <c r="AX50" s="140"/>
      <c r="AY50" s="140"/>
      <c r="AZ50" s="140"/>
      <c r="BA50" s="140"/>
      <c r="BB50" s="140"/>
      <c r="BC50" s="140"/>
      <c r="BD50" s="140"/>
      <c r="BE50" s="140"/>
      <c r="BF50" s="140"/>
      <c r="BG50" s="140"/>
      <c r="BH50" s="140"/>
      <c r="BI50" s="140"/>
      <c r="BJ50" s="140"/>
      <c r="BK50" s="129"/>
      <c r="BL50" s="140"/>
      <c r="BM50" s="140"/>
      <c r="BN50" s="140"/>
      <c r="BO50" s="140"/>
      <c r="BP50" s="140"/>
      <c r="BQ50" s="140"/>
      <c r="BR50" s="140"/>
      <c r="BS50" s="140"/>
      <c r="BT50" s="140"/>
      <c r="BU50" s="140"/>
      <c r="BV50" s="140"/>
      <c r="BW50" s="140"/>
      <c r="BX50" s="140"/>
      <c r="BY50" s="140"/>
      <c r="BZ50" s="140"/>
      <c r="CA50" s="140"/>
      <c r="CB50" s="140"/>
      <c r="CC50" s="140"/>
      <c r="CD50" s="140"/>
      <c r="CE50" s="140"/>
      <c r="CF50" s="140"/>
      <c r="CG50" s="140"/>
      <c r="CH50" s="140"/>
      <c r="CI50" s="140"/>
      <c r="CJ50" s="140"/>
      <c r="CK50" s="140"/>
      <c r="CL50" s="140"/>
      <c r="CM50" s="140"/>
      <c r="CN50" s="140"/>
      <c r="CO50" s="140"/>
      <c r="CP50" s="140"/>
      <c r="CQ50" s="140"/>
      <c r="CR50" s="140"/>
      <c r="CS50" s="140"/>
      <c r="CT50" s="140"/>
      <c r="CU50" s="140"/>
      <c r="CV50" s="140"/>
      <c r="CW50" s="140"/>
      <c r="CX50" s="140"/>
      <c r="CY50" s="140"/>
      <c r="CZ50" s="140"/>
      <c r="DA50" s="140"/>
      <c r="DB50" s="140"/>
      <c r="DC50" s="140"/>
      <c r="DD50" s="140"/>
      <c r="DE50" s="140"/>
      <c r="DF50" s="140"/>
      <c r="DG50" s="140"/>
      <c r="DH50" s="140"/>
      <c r="DI50" s="140"/>
      <c r="DJ50" s="140"/>
      <c r="DK50" s="140"/>
      <c r="DL50" s="140"/>
      <c r="DM50" s="140"/>
      <c r="DN50" s="136"/>
      <c r="DO50" s="136"/>
      <c r="DP50" s="136"/>
      <c r="DQ50" s="136"/>
      <c r="DR50" s="140"/>
      <c r="DS50" s="140"/>
      <c r="DT50" s="140"/>
      <c r="DU50" s="140"/>
      <c r="DV50" s="129"/>
      <c r="DW50" s="129"/>
      <c r="DX50" s="129"/>
      <c r="DY50" s="129"/>
      <c r="DZ50" s="140"/>
      <c r="EA50" s="140"/>
      <c r="EB50" s="140"/>
      <c r="EC50" s="140"/>
      <c r="ED50" s="140"/>
      <c r="EE50" s="140"/>
      <c r="EF50" s="140"/>
      <c r="EG50" s="140"/>
      <c r="EH50" s="140"/>
      <c r="EI50" s="140"/>
      <c r="EJ50" s="140"/>
      <c r="EK50" s="140"/>
      <c r="EL50" s="140"/>
      <c r="EM50" s="140"/>
      <c r="EN50" s="140"/>
      <c r="EO50" s="140"/>
      <c r="EP50" s="140"/>
      <c r="EQ50" s="140"/>
      <c r="ER50" s="140"/>
      <c r="ES50" s="175"/>
      <c r="ET50" s="140"/>
      <c r="EU50" s="140"/>
      <c r="EV50" s="175"/>
      <c r="EW50" s="140"/>
      <c r="EX50" s="140"/>
      <c r="EY50" s="175"/>
      <c r="EZ50" s="140"/>
      <c r="FA50" s="140"/>
      <c r="FB50" s="175"/>
      <c r="FC50" s="140"/>
      <c r="FD50" s="140"/>
      <c r="FE50" s="140"/>
      <c r="FF50" s="140"/>
      <c r="FG50" s="140"/>
      <c r="FH50" s="140"/>
      <c r="FI50" s="140"/>
      <c r="FJ50" s="140"/>
      <c r="FK50" s="140"/>
      <c r="FL50" s="140"/>
      <c r="FM50" s="140"/>
      <c r="FN50" s="140"/>
      <c r="FO50" s="140"/>
      <c r="FP50" s="140"/>
      <c r="FQ50" s="140"/>
      <c r="FR50" s="140"/>
      <c r="FS50" s="140"/>
      <c r="FT50" s="140"/>
      <c r="FU50" s="140"/>
      <c r="FV50" s="140"/>
      <c r="FW50" s="140"/>
      <c r="FX50" s="140"/>
      <c r="FY50" s="140"/>
      <c r="FZ50" s="140"/>
      <c r="GA50" s="140"/>
      <c r="GB50" s="140"/>
      <c r="GC50" s="140"/>
      <c r="GD50" s="129"/>
      <c r="GE50" s="140"/>
      <c r="GF50" s="140"/>
      <c r="GG50" s="140"/>
      <c r="GH50" s="140"/>
      <c r="GI50" s="140"/>
      <c r="GJ50" s="140"/>
      <c r="GK50" s="140"/>
      <c r="GL50" s="140"/>
      <c r="GM50" s="64"/>
      <c r="GN50" s="64"/>
      <c r="GO50" s="64"/>
      <c r="GP50" s="64"/>
      <c r="GQ50" s="64"/>
      <c r="GR50" s="64"/>
      <c r="GS50" s="64"/>
      <c r="GT50" s="64"/>
      <c r="GU50" s="64"/>
      <c r="GV50" s="64"/>
      <c r="GW50" s="64"/>
      <c r="GX50" s="64"/>
    </row>
    <row r="51" spans="1:206">
      <c r="A51" s="181"/>
      <c r="B51" s="146"/>
      <c r="C51" s="146"/>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7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37"/>
      <c r="BL51" s="146"/>
      <c r="BM51" s="146"/>
      <c r="BN51" s="146"/>
      <c r="BO51" s="146"/>
      <c r="BP51" s="146"/>
      <c r="BQ51" s="146"/>
      <c r="BR51" s="146"/>
      <c r="BS51" s="146"/>
      <c r="BT51" s="146"/>
      <c r="BU51" s="146"/>
      <c r="BV51" s="146"/>
      <c r="BW51" s="146"/>
      <c r="BX51" s="146"/>
      <c r="BY51" s="146"/>
      <c r="BZ51" s="146"/>
      <c r="CA51" s="146"/>
      <c r="CB51" s="146"/>
      <c r="CC51" s="146"/>
      <c r="CD51" s="146"/>
      <c r="CE51" s="146"/>
      <c r="CF51" s="146"/>
      <c r="CG51" s="146"/>
      <c r="CH51" s="146"/>
      <c r="CI51" s="146"/>
      <c r="CJ51" s="146"/>
      <c r="CK51" s="146"/>
      <c r="CL51" s="146"/>
      <c r="CM51" s="146"/>
      <c r="CN51" s="146"/>
      <c r="CO51" s="146"/>
      <c r="CP51" s="146"/>
      <c r="CQ51" s="146"/>
      <c r="CR51" s="146"/>
      <c r="CS51" s="146"/>
      <c r="CT51" s="146"/>
      <c r="CU51" s="146"/>
      <c r="CV51" s="146"/>
      <c r="CW51" s="146"/>
      <c r="CX51" s="146"/>
      <c r="CY51" s="146"/>
      <c r="CZ51" s="146"/>
      <c r="DA51" s="146"/>
      <c r="DB51" s="146"/>
      <c r="DC51" s="146"/>
      <c r="DD51" s="146"/>
      <c r="DE51" s="146"/>
      <c r="DF51" s="146"/>
      <c r="DG51" s="146"/>
      <c r="DH51" s="146"/>
      <c r="DI51" s="146"/>
      <c r="DJ51" s="146"/>
      <c r="DK51" s="146"/>
      <c r="DL51" s="146"/>
      <c r="DM51" s="146"/>
      <c r="DN51" s="142"/>
      <c r="DO51" s="142"/>
      <c r="DP51" s="142"/>
      <c r="DQ51" s="142"/>
      <c r="DR51" s="146"/>
      <c r="DS51" s="146"/>
      <c r="DT51" s="146"/>
      <c r="DU51" s="146"/>
      <c r="DV51" s="137"/>
      <c r="DW51" s="137"/>
      <c r="DX51" s="137"/>
      <c r="DY51" s="137"/>
      <c r="DZ51" s="146"/>
      <c r="EA51" s="146"/>
      <c r="EB51" s="146"/>
      <c r="EC51" s="146"/>
      <c r="ED51" s="146"/>
      <c r="EE51" s="146"/>
      <c r="EF51" s="146"/>
      <c r="EG51" s="146"/>
      <c r="EH51" s="146"/>
      <c r="EI51" s="146"/>
      <c r="EJ51" s="146"/>
      <c r="EK51" s="146"/>
      <c r="EL51" s="146"/>
      <c r="EM51" s="146"/>
      <c r="EN51" s="146"/>
      <c r="EO51" s="146"/>
      <c r="EP51" s="146"/>
      <c r="EQ51" s="146"/>
      <c r="ER51" s="146"/>
      <c r="ES51" s="182"/>
      <c r="ET51" s="146"/>
      <c r="EU51" s="146"/>
      <c r="EV51" s="182"/>
      <c r="EW51" s="146"/>
      <c r="EX51" s="146"/>
      <c r="EY51" s="182"/>
      <c r="EZ51" s="146"/>
      <c r="FA51" s="146"/>
      <c r="FB51" s="182"/>
      <c r="FC51" s="146"/>
      <c r="FD51" s="146"/>
      <c r="FE51" s="146"/>
      <c r="FF51" s="146"/>
      <c r="FG51" s="146"/>
      <c r="FH51" s="146"/>
      <c r="FI51" s="146"/>
      <c r="FJ51" s="146"/>
      <c r="FK51" s="146"/>
      <c r="FL51" s="146"/>
      <c r="FM51" s="146"/>
      <c r="FN51" s="146"/>
      <c r="FO51" s="146"/>
      <c r="FP51" s="146"/>
      <c r="FQ51" s="146"/>
      <c r="FR51" s="146"/>
      <c r="FS51" s="146"/>
      <c r="FT51" s="146"/>
      <c r="FU51" s="146"/>
      <c r="FV51" s="146"/>
      <c r="FW51" s="146"/>
      <c r="FX51" s="146"/>
      <c r="FY51" s="146"/>
      <c r="FZ51" s="146"/>
      <c r="GA51" s="146"/>
      <c r="GB51" s="146"/>
      <c r="GC51" s="146"/>
      <c r="GD51" s="137"/>
      <c r="GE51" s="146"/>
      <c r="GF51" s="146"/>
      <c r="GG51" s="146"/>
      <c r="GH51" s="146"/>
      <c r="GI51" s="146"/>
      <c r="GJ51" s="146"/>
      <c r="GK51" s="146"/>
      <c r="GL51" s="146"/>
      <c r="GM51" s="69"/>
      <c r="GN51" s="69"/>
      <c r="GO51" s="69"/>
      <c r="GP51" s="69"/>
      <c r="GQ51" s="69"/>
      <c r="GR51" s="69"/>
      <c r="GS51" s="69"/>
      <c r="GT51" s="69"/>
      <c r="GU51" s="69"/>
      <c r="GV51" s="69"/>
      <c r="GW51" s="69"/>
      <c r="GX51" s="6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UD_MAP">
    <tabColor rgb="FFFFC000"/>
  </sheetPr>
  <sheetViews>
    <sheetView topLeftCell="A172" zoomScaleNormal="100" zoomScaleSheetLayoutView="100" workbookViewId="0">
      <selection sqref="A1:XFD1048576"/>
    </sheetView>
  </sheetViews>
  <sheetFormatPr baseColWidth="10" defaultColWidth="9.1640625" defaultRowHeight="15"/>
  <cols>
    <col min="2" max="2" width="46.1640625" customWidth="1"/>
    <col min="3" max="3" width="30.33203125" customWidth="1"/>
    <col min="4" max="4" width="9" style="197" customWidth="1"/>
    <col min="6" max="6" width="13.83203125" customWidth="1"/>
    <col min="8" max="8" width="20.5" customWidth="1"/>
  </cols>
  <sheetData>
    <row r="1" spans="1:6" ht="15.75" customHeight="1" thickBot="1">
      <c r="A1" t="s" s="199">
        <v>956</v>
      </c>
      <c r="B1" s="199"/>
      <c r="C1" s="12"/>
      <c r="D1" t="s" s="223">
        <v>1552</v>
      </c>
      <c r="E1" t="s" s="228">
        <v>1229</v>
      </c>
      <c r="F1" t="s" s="183">
        <v>929</v>
      </c>
    </row>
    <row r="2" spans="1:6" ht="16">
      <c r="A2" s="230"/>
      <c r="B2" t="s" s="53">
        <v>1602</v>
      </c>
      <c r="C2" t="s" s="117">
        <v>1729</v>
      </c>
      <c r="D2" t="s" s="233">
        <v>554</v>
      </c>
      <c r="E2" t="s" s="233">
        <v>1849</v>
      </c>
      <c r="F2" s="184">
        <v>29</v>
      </c>
    </row>
    <row r="3" spans="1:6">
      <c r="A3" s="98">
        <v>1</v>
      </c>
      <c r="B3" t="s" s="240">
        <v>13</v>
      </c>
      <c r="C3" t="s" s="102">
        <v>153</v>
      </c>
      <c r="D3" s="50">
        <v>2</v>
      </c>
      <c r="E3" s="147"/>
    </row>
    <row r="4" spans="1:6">
      <c r="A4" s="98">
        <v>2</v>
      </c>
      <c r="B4" t="s" s="240">
        <v>1299</v>
      </c>
      <c r="C4" t="s" s="102">
        <v>1400</v>
      </c>
      <c r="D4" s="50">
        <v>3</v>
      </c>
      <c r="E4" s="147"/>
    </row>
    <row r="5" spans="1:6">
      <c r="A5" s="98">
        <v>3</v>
      </c>
      <c r="B5" t="s" s="240">
        <v>887</v>
      </c>
      <c r="C5" t="s" s="102">
        <v>330</v>
      </c>
      <c r="D5" s="50">
        <v>4</v>
      </c>
      <c r="E5" s="147"/>
    </row>
    <row r="6" spans="1:6">
      <c r="A6" s="98">
        <v>4</v>
      </c>
      <c r="B6" t="s" s="240">
        <v>1269</v>
      </c>
      <c r="C6" t="s" s="102">
        <v>1269</v>
      </c>
      <c r="D6" s="50">
        <v>5</v>
      </c>
      <c r="E6" s="147"/>
    </row>
    <row r="7" spans="1:6">
      <c r="A7" s="98">
        <v>5</v>
      </c>
      <c r="B7" t="s" s="240">
        <v>550</v>
      </c>
      <c r="C7" t="s" s="102">
        <v>550</v>
      </c>
      <c r="D7" s="50">
        <v>6</v>
      </c>
      <c r="E7" s="147"/>
    </row>
    <row r="8" spans="1:6">
      <c r="A8" s="98">
        <v>6</v>
      </c>
      <c r="B8" t="s" s="240">
        <v>848</v>
      </c>
      <c r="C8" s="102">
        <v>28</v>
      </c>
      <c r="D8" s="50">
        <v>7</v>
      </c>
      <c r="E8" s="147">
        <v>1</v>
      </c>
    </row>
    <row r="9" spans="1:6">
      <c r="A9" s="98">
        <v>7</v>
      </c>
      <c r="B9" t="s" s="240">
        <v>1367</v>
      </c>
      <c r="C9" s="102">
        <v>61</v>
      </c>
      <c r="D9" s="50">
        <v>8</v>
      </c>
      <c r="E9" s="147">
        <v>2</v>
      </c>
    </row>
    <row r="10" spans="1:6">
      <c r="A10" s="98">
        <v>8</v>
      </c>
      <c r="B10" t="s" s="240">
        <v>675</v>
      </c>
      <c r="C10" s="102">
        <v>62</v>
      </c>
      <c r="D10" s="50">
        <v>9</v>
      </c>
      <c r="E10" s="147">
        <v>3</v>
      </c>
    </row>
    <row r="11" spans="1:6">
      <c r="A11" s="98">
        <v>9</v>
      </c>
      <c r="B11" t="s" s="240">
        <v>1215</v>
      </c>
      <c r="C11" s="102">
        <v>63</v>
      </c>
      <c r="D11" s="50">
        <v>10</v>
      </c>
      <c r="E11" s="147">
        <v>4</v>
      </c>
    </row>
    <row r="12" spans="1:6">
      <c r="A12" s="98">
        <v>10</v>
      </c>
      <c r="B12" t="s" s="240">
        <v>1399</v>
      </c>
      <c r="C12" t="s" s="102">
        <v>294</v>
      </c>
      <c r="D12" s="50">
        <v>11</v>
      </c>
      <c r="E12" s="147"/>
    </row>
    <row r="13" spans="1:6">
      <c r="A13" s="98">
        <v>11</v>
      </c>
      <c r="B13" t="s" s="240">
        <v>1188</v>
      </c>
      <c r="C13" t="s" s="102">
        <v>409</v>
      </c>
      <c r="D13" s="50">
        <v>12</v>
      </c>
      <c r="E13" s="147"/>
    </row>
    <row r="14" spans="1:6">
      <c r="A14" s="98">
        <v>12</v>
      </c>
      <c r="B14" t="s" s="240">
        <v>1072</v>
      </c>
      <c r="C14" t="s" s="102">
        <v>445</v>
      </c>
      <c r="D14" s="50">
        <v>13</v>
      </c>
      <c r="E14" s="147"/>
    </row>
    <row r="15" spans="1:6">
      <c r="A15" s="98">
        <v>13</v>
      </c>
      <c r="B15" t="s" s="240">
        <v>744</v>
      </c>
      <c r="C15" t="s" s="102">
        <v>781</v>
      </c>
      <c r="D15" s="50">
        <v>14</v>
      </c>
      <c r="E15" s="147"/>
    </row>
    <row r="16" spans="1:6">
      <c r="A16" s="98">
        <v>14</v>
      </c>
      <c r="B16" t="s" s="240">
        <v>565</v>
      </c>
      <c r="C16" t="s" s="102">
        <v>1695</v>
      </c>
      <c r="D16" s="50">
        <v>15</v>
      </c>
      <c r="E16" s="147"/>
    </row>
    <row r="17" spans="1:8">
      <c r="A17" s="98">
        <v>15</v>
      </c>
      <c r="B17" t="s" s="240">
        <v>612</v>
      </c>
      <c r="C17" t="s" s="102">
        <v>1135</v>
      </c>
      <c r="D17" s="50">
        <v>16</v>
      </c>
      <c r="E17" s="147"/>
    </row>
    <row r="18" spans="1:8">
      <c r="A18" s="98">
        <v>16</v>
      </c>
      <c r="B18" t="s" s="240">
        <v>743</v>
      </c>
      <c r="C18" t="s" s="102">
        <v>1421</v>
      </c>
      <c r="D18" s="50">
        <v>17</v>
      </c>
      <c r="E18" s="147"/>
    </row>
    <row r="19" spans="1:8">
      <c r="A19" s="98">
        <v>17</v>
      </c>
      <c r="B19" t="s" s="240">
        <v>264</v>
      </c>
      <c r="C19" t="s" s="102">
        <v>1197</v>
      </c>
      <c r="D19" s="50">
        <v>18</v>
      </c>
      <c r="E19" s="147"/>
    </row>
    <row r="20" spans="1:8">
      <c r="A20" s="98">
        <v>18</v>
      </c>
      <c r="B20" t="s" s="240">
        <v>144</v>
      </c>
      <c r="C20" t="s" s="102">
        <v>275</v>
      </c>
      <c r="D20" s="50">
        <v>19</v>
      </c>
      <c r="E20" s="147"/>
    </row>
    <row r="21" spans="1:8">
      <c r="A21" s="98">
        <v>19</v>
      </c>
      <c r="B21" t="s" s="240">
        <v>957</v>
      </c>
      <c r="C21" t="s" s="102">
        <v>1155</v>
      </c>
      <c r="D21" s="50">
        <v>20</v>
      </c>
      <c r="E21" s="147"/>
    </row>
    <row r="22" spans="1:8">
      <c r="A22" s="98">
        <v>20</v>
      </c>
      <c r="B22" t="s" s="240">
        <v>252</v>
      </c>
      <c r="C22" t="s" s="102">
        <v>1796</v>
      </c>
      <c r="D22" s="50">
        <v>21</v>
      </c>
      <c r="E22" s="147"/>
    </row>
    <row r="23" spans="1:8">
      <c r="A23" s="98">
        <v>21</v>
      </c>
      <c r="B23" t="s" s="240">
        <v>1435</v>
      </c>
      <c r="C23" t="s" s="102">
        <v>1828</v>
      </c>
      <c r="D23" s="50">
        <v>22</v>
      </c>
      <c r="E23" s="147"/>
      <c r="H23" s="80"/>
    </row>
    <row r="24" spans="1:8">
      <c r="A24" s="98">
        <v>22</v>
      </c>
      <c r="B24" t="s" s="240">
        <v>1493</v>
      </c>
      <c r="C24" t="s" s="102">
        <v>1126</v>
      </c>
      <c r="D24" s="50">
        <v>23</v>
      </c>
      <c r="E24" s="147"/>
      <c r="H24" s="80"/>
    </row>
    <row r="25" spans="1:8">
      <c r="A25" s="98">
        <v>23</v>
      </c>
      <c r="B25" t="s" s="240">
        <v>1352</v>
      </c>
      <c r="C25" t="s" s="102">
        <v>1514</v>
      </c>
      <c r="D25" s="50">
        <v>24</v>
      </c>
      <c r="E25" s="147"/>
      <c r="H25" s="80"/>
    </row>
    <row r="26" spans="1:8">
      <c r="A26" s="98">
        <v>24</v>
      </c>
      <c r="B26" t="s" s="240">
        <v>232</v>
      </c>
      <c r="C26" t="s" s="102">
        <v>584</v>
      </c>
      <c r="D26" s="50">
        <v>25</v>
      </c>
      <c r="E26" s="147"/>
      <c r="H26" s="80"/>
    </row>
    <row r="27" spans="1:8">
      <c r="A27" s="98">
        <v>25</v>
      </c>
      <c r="B27" t="s" s="240">
        <v>36</v>
      </c>
      <c r="C27" t="s" s="102">
        <v>497</v>
      </c>
      <c r="D27" s="50">
        <v>26</v>
      </c>
      <c r="E27" s="147"/>
      <c r="H27" s="80"/>
    </row>
    <row r="28" spans="1:8">
      <c r="A28" s="98">
        <v>26</v>
      </c>
      <c r="B28" t="s" s="240">
        <v>838</v>
      </c>
      <c r="C28" t="s" s="102">
        <v>1043</v>
      </c>
      <c r="D28" s="50">
        <v>27</v>
      </c>
      <c r="E28" s="147"/>
      <c r="H28" s="80"/>
    </row>
    <row r="29" spans="1:8">
      <c r="A29" s="98">
        <v>27</v>
      </c>
      <c r="B29" t="s" s="240">
        <v>436</v>
      </c>
      <c r="C29" t="s" s="102">
        <v>1266</v>
      </c>
      <c r="D29" s="50">
        <v>28</v>
      </c>
      <c r="E29" s="147"/>
      <c r="H29" s="80"/>
    </row>
    <row r="30" spans="1:8">
      <c r="A30" s="98">
        <v>28</v>
      </c>
      <c r="B30" t="s" s="240">
        <v>1520</v>
      </c>
      <c r="C30" t="s" s="102">
        <v>1648</v>
      </c>
      <c r="D30" s="50">
        <v>29</v>
      </c>
      <c r="E30" s="147"/>
      <c r="H30" s="80"/>
    </row>
    <row r="31" spans="1:8">
      <c r="A31" s="98">
        <v>29</v>
      </c>
      <c r="B31" t="s" s="240">
        <v>169</v>
      </c>
      <c r="C31" t="s" s="102">
        <v>1314</v>
      </c>
      <c r="D31" s="50">
        <v>30</v>
      </c>
      <c r="E31" s="147"/>
    </row>
    <row r="32" spans="1:8">
      <c r="A32" s="98">
        <v>30</v>
      </c>
      <c r="B32" t="s" s="240">
        <v>391</v>
      </c>
      <c r="C32" t="s" s="102">
        <v>1034</v>
      </c>
      <c r="D32" s="50">
        <v>31</v>
      </c>
      <c r="E32" s="147"/>
    </row>
    <row r="33" spans="1:5">
      <c r="A33" s="98">
        <v>31</v>
      </c>
      <c r="B33" t="s" s="240">
        <v>424</v>
      </c>
      <c r="C33" t="s" s="102">
        <v>1854</v>
      </c>
      <c r="D33" s="50">
        <v>32</v>
      </c>
      <c r="E33" s="147"/>
    </row>
    <row r="34" spans="1:5">
      <c r="A34" s="98">
        <v>32</v>
      </c>
      <c r="B34" t="s" s="240">
        <v>955</v>
      </c>
      <c r="C34" t="s" s="102">
        <v>991</v>
      </c>
      <c r="D34" s="50">
        <v>33</v>
      </c>
      <c r="E34" s="147"/>
    </row>
    <row r="35" spans="1:5">
      <c r="A35" s="98">
        <v>33</v>
      </c>
      <c r="B35" t="s" s="240">
        <v>378</v>
      </c>
      <c r="C35" t="s" s="102">
        <v>1688</v>
      </c>
      <c r="D35" s="50">
        <v>34</v>
      </c>
      <c r="E35" s="147"/>
    </row>
    <row r="36" spans="1:5">
      <c r="A36" s="98">
        <v>34</v>
      </c>
      <c r="B36" t="s" s="240">
        <v>1064</v>
      </c>
      <c r="C36" t="s" s="102">
        <v>1137</v>
      </c>
      <c r="D36" s="50">
        <v>35</v>
      </c>
      <c r="E36" s="147"/>
    </row>
    <row r="37" spans="1:5">
      <c r="A37" s="98">
        <v>35</v>
      </c>
      <c r="B37" t="s" s="240">
        <v>778</v>
      </c>
      <c r="C37" t="s" s="102">
        <v>463</v>
      </c>
      <c r="D37" s="50">
        <v>36</v>
      </c>
      <c r="E37" s="147"/>
    </row>
    <row r="38" spans="1:5">
      <c r="A38" s="98">
        <v>36</v>
      </c>
      <c r="B38" t="s" s="240">
        <v>1287</v>
      </c>
      <c r="C38" t="s" s="102">
        <v>377</v>
      </c>
      <c r="D38" s="50">
        <v>37</v>
      </c>
      <c r="E38" s="147"/>
    </row>
    <row r="39" spans="1:5">
      <c r="A39" s="98">
        <v>37</v>
      </c>
      <c r="B39" t="s" s="240">
        <v>1370</v>
      </c>
      <c r="C39" t="s" s="102">
        <v>896</v>
      </c>
      <c r="D39" s="50">
        <v>38</v>
      </c>
      <c r="E39" s="147"/>
    </row>
    <row r="40" spans="1:5">
      <c r="A40" s="98">
        <v>38</v>
      </c>
      <c r="B40" t="s" s="240">
        <v>101</v>
      </c>
      <c r="C40" t="s" s="102">
        <v>1030</v>
      </c>
      <c r="D40" s="50">
        <v>39</v>
      </c>
      <c r="E40" s="147"/>
    </row>
    <row r="41" spans="1:5">
      <c r="A41" s="98">
        <v>39</v>
      </c>
      <c r="B41" t="s" s="240">
        <v>1295</v>
      </c>
      <c r="C41" t="s" s="102">
        <v>67</v>
      </c>
      <c r="D41" s="50">
        <v>40</v>
      </c>
      <c r="E41" s="147"/>
    </row>
    <row r="42" spans="1:5">
      <c r="A42" s="98">
        <v>40</v>
      </c>
      <c r="B42" t="s" s="240">
        <v>1407</v>
      </c>
      <c r="C42" t="s" s="102">
        <v>1704</v>
      </c>
      <c r="D42" s="50">
        <v>41</v>
      </c>
      <c r="E42" s="147"/>
    </row>
    <row r="43" spans="1:5">
      <c r="A43" s="98">
        <v>41</v>
      </c>
      <c r="B43" t="s" s="240">
        <v>752</v>
      </c>
      <c r="C43" t="s" s="102">
        <v>647</v>
      </c>
      <c r="D43" s="50">
        <v>42</v>
      </c>
      <c r="E43" s="147"/>
    </row>
    <row r="44" spans="1:5">
      <c r="A44" s="98">
        <v>42</v>
      </c>
      <c r="B44" t="s" s="240">
        <v>601</v>
      </c>
      <c r="C44" t="s" s="102">
        <v>597</v>
      </c>
      <c r="D44" s="50">
        <v>43</v>
      </c>
      <c r="E44" s="147"/>
    </row>
    <row r="45" spans="1:5">
      <c r="A45" s="98">
        <v>43</v>
      </c>
      <c r="B45" t="s" s="240">
        <v>373</v>
      </c>
      <c r="C45" t="s" s="102">
        <v>1286</v>
      </c>
      <c r="D45" s="50">
        <v>44</v>
      </c>
      <c r="E45" s="147"/>
    </row>
    <row r="46" spans="1:5">
      <c r="A46" s="98">
        <v>44</v>
      </c>
      <c r="B46" t="s" s="240">
        <v>345</v>
      </c>
      <c r="C46" t="s" s="102">
        <v>824</v>
      </c>
      <c r="D46" s="50">
        <v>45</v>
      </c>
      <c r="E46" s="147"/>
    </row>
    <row r="47" spans="1:5">
      <c r="A47" s="98">
        <v>45</v>
      </c>
      <c r="B47" t="s" s="240">
        <v>1293</v>
      </c>
      <c r="C47" t="s" s="102">
        <v>661</v>
      </c>
      <c r="D47" s="50">
        <v>46</v>
      </c>
      <c r="E47" s="147"/>
    </row>
    <row r="48" spans="1:5">
      <c r="A48" s="98">
        <v>46</v>
      </c>
      <c r="B48" t="s" s="240">
        <v>1561</v>
      </c>
      <c r="C48" t="s" s="102">
        <v>891</v>
      </c>
      <c r="D48" s="50">
        <v>47</v>
      </c>
      <c r="E48" s="147"/>
    </row>
    <row r="49" spans="1:10">
      <c r="A49" s="98">
        <v>47</v>
      </c>
      <c r="B49" t="s" s="240">
        <v>339</v>
      </c>
      <c r="C49" t="s" s="102">
        <v>212</v>
      </c>
      <c r="D49" s="50">
        <v>48</v>
      </c>
      <c r="E49" s="147"/>
    </row>
    <row r="50" spans="1:10">
      <c r="A50" s="98">
        <v>48</v>
      </c>
      <c r="B50" t="s" s="240">
        <v>729</v>
      </c>
      <c r="C50" t="s" s="102">
        <v>181</v>
      </c>
      <c r="D50" s="50">
        <v>49</v>
      </c>
      <c r="E50" s="147"/>
    </row>
    <row r="51" spans="1:10">
      <c r="A51" s="98">
        <v>49</v>
      </c>
      <c r="B51" t="s" s="240">
        <v>827</v>
      </c>
      <c r="C51" t="s" s="102">
        <v>950</v>
      </c>
      <c r="D51" s="50">
        <v>50</v>
      </c>
      <c r="E51" s="147"/>
    </row>
    <row r="52" spans="1:10">
      <c r="A52" s="98">
        <v>50</v>
      </c>
      <c r="B52" t="s" s="240">
        <v>1301</v>
      </c>
      <c r="C52" t="s" s="102">
        <v>371</v>
      </c>
      <c r="D52" s="50">
        <v>51</v>
      </c>
      <c r="E52" s="147"/>
    </row>
    <row r="53" spans="1:10">
      <c r="A53" s="98">
        <v>51</v>
      </c>
      <c r="B53" t="s" s="240">
        <v>652</v>
      </c>
      <c r="C53" t="s" s="102">
        <v>315</v>
      </c>
      <c r="D53" s="50">
        <v>52</v>
      </c>
      <c r="E53" s="147"/>
    </row>
    <row r="54" spans="1:10">
      <c r="A54" s="98">
        <v>52</v>
      </c>
      <c r="B54" t="s" s="240">
        <v>690</v>
      </c>
      <c r="C54" t="s" s="102">
        <v>97</v>
      </c>
      <c r="D54" s="50">
        <v>53</v>
      </c>
      <c r="E54" s="147"/>
    </row>
    <row r="55" spans="1:10">
      <c r="A55" s="98">
        <v>53</v>
      </c>
      <c r="B55" t="s" s="240">
        <v>1660</v>
      </c>
      <c r="C55" t="s" s="102">
        <v>502</v>
      </c>
      <c r="D55" s="50">
        <v>54</v>
      </c>
      <c r="E55" s="147"/>
      <c r="J55" s="80"/>
    </row>
    <row r="56" spans="1:10">
      <c r="A56" s="98">
        <v>54</v>
      </c>
      <c r="B56" t="s" s="240">
        <v>113</v>
      </c>
      <c r="C56" t="s" s="102">
        <v>174</v>
      </c>
      <c r="D56" s="50">
        <v>55</v>
      </c>
      <c r="E56" s="147"/>
      <c r="J56" s="80"/>
    </row>
    <row r="57" spans="1:10">
      <c r="A57" s="98">
        <v>55</v>
      </c>
      <c r="B57" t="s" s="240">
        <v>1061</v>
      </c>
      <c r="C57" t="s" s="102">
        <v>1741</v>
      </c>
      <c r="D57" s="50">
        <v>56</v>
      </c>
      <c r="E57" s="147"/>
      <c r="J57" s="80"/>
    </row>
    <row r="58" spans="1:10">
      <c r="A58" s="98">
        <v>56</v>
      </c>
      <c r="B58" t="s" s="240">
        <v>711</v>
      </c>
      <c r="C58" t="s" s="102">
        <v>508</v>
      </c>
      <c r="D58" s="50">
        <v>57</v>
      </c>
      <c r="E58" s="147"/>
      <c r="J58" s="80"/>
    </row>
    <row r="59" spans="1:10">
      <c r="A59" s="98">
        <v>57</v>
      </c>
      <c r="B59" t="s" s="240">
        <v>1830</v>
      </c>
      <c r="C59" t="s" s="102">
        <v>1173</v>
      </c>
      <c r="D59" s="50">
        <v>58</v>
      </c>
      <c r="E59" s="147"/>
      <c r="J59" s="80"/>
    </row>
    <row r="60" spans="1:10">
      <c r="A60" s="98">
        <v>58</v>
      </c>
      <c r="B60" t="s" s="240">
        <v>491</v>
      </c>
      <c r="C60" t="s" s="102">
        <v>386</v>
      </c>
      <c r="D60" s="50">
        <v>59</v>
      </c>
      <c r="E60" s="147"/>
    </row>
    <row r="61" spans="1:10">
      <c r="A61" s="98">
        <v>59</v>
      </c>
      <c r="B61" t="s" s="240">
        <v>1425</v>
      </c>
      <c r="C61" t="s" s="102">
        <v>397</v>
      </c>
      <c r="D61" s="50">
        <v>60</v>
      </c>
      <c r="E61" s="147"/>
    </row>
    <row r="62" spans="1:10">
      <c r="A62" s="98">
        <v>60</v>
      </c>
      <c r="B62" t="s" s="240">
        <v>57</v>
      </c>
      <c r="C62" t="s" s="102">
        <v>71</v>
      </c>
      <c r="D62" s="50">
        <v>61</v>
      </c>
      <c r="E62" s="147"/>
    </row>
    <row r="63" spans="1:10">
      <c r="A63" s="98">
        <v>61</v>
      </c>
      <c r="B63" t="s" s="240">
        <v>260</v>
      </c>
      <c r="C63" t="s" s="102">
        <v>1757</v>
      </c>
      <c r="D63" s="50">
        <v>62</v>
      </c>
      <c r="E63" s="147"/>
    </row>
    <row r="64" spans="1:10">
      <c r="A64" s="98">
        <v>62</v>
      </c>
      <c r="B64" t="s" s="240">
        <v>51</v>
      </c>
      <c r="C64" t="s" s="102">
        <v>1234</v>
      </c>
      <c r="D64" s="50">
        <v>63</v>
      </c>
      <c r="E64" s="147"/>
    </row>
    <row r="65" spans="1:5">
      <c r="A65" s="98">
        <v>63</v>
      </c>
      <c r="B65" t="s" s="240">
        <v>1817</v>
      </c>
      <c r="C65" t="s" s="102">
        <v>421</v>
      </c>
      <c r="D65" s="50">
        <v>64</v>
      </c>
      <c r="E65" s="147"/>
    </row>
    <row r="66" spans="1:5">
      <c r="A66" s="98">
        <v>64</v>
      </c>
      <c r="B66" t="s" s="240">
        <v>1532</v>
      </c>
      <c r="C66" t="s" s="102">
        <v>1754</v>
      </c>
      <c r="D66" s="50">
        <v>65</v>
      </c>
      <c r="E66" s="147"/>
    </row>
    <row r="67" spans="1:5">
      <c r="A67" s="98">
        <v>65</v>
      </c>
      <c r="B67" t="s" s="240">
        <v>815</v>
      </c>
      <c r="C67" t="s" s="102">
        <v>433</v>
      </c>
      <c r="D67" s="50">
        <v>66</v>
      </c>
      <c r="E67" s="147"/>
    </row>
    <row r="68" spans="1:5">
      <c r="A68" s="98">
        <v>66</v>
      </c>
      <c r="B68" t="s" s="240">
        <v>1011</v>
      </c>
      <c r="C68" s="102">
        <v>12</v>
      </c>
      <c r="D68" s="50">
        <v>67</v>
      </c>
      <c r="E68" s="147">
        <v>5</v>
      </c>
    </row>
    <row r="69" spans="1:5">
      <c r="A69" s="98">
        <v>67</v>
      </c>
      <c r="B69" t="s" s="240">
        <v>1309</v>
      </c>
      <c r="C69" s="102">
        <v>49</v>
      </c>
      <c r="D69" s="50">
        <v>68</v>
      </c>
      <c r="E69" s="147">
        <v>6</v>
      </c>
    </row>
    <row r="70" spans="1:5">
      <c r="A70" s="98">
        <v>68</v>
      </c>
      <c r="B70" t="s" s="240">
        <v>225</v>
      </c>
      <c r="C70" t="s" s="102">
        <v>72</v>
      </c>
      <c r="D70" s="50">
        <v>69</v>
      </c>
      <c r="E70" s="147"/>
    </row>
    <row r="71" spans="1:5">
      <c r="A71" s="98">
        <v>69</v>
      </c>
      <c r="B71" t="s" s="240">
        <v>768</v>
      </c>
      <c r="C71" t="s" s="102">
        <v>40</v>
      </c>
      <c r="D71" s="50">
        <v>70</v>
      </c>
      <c r="E71" s="147"/>
    </row>
    <row r="72" spans="1:5">
      <c r="A72" s="98">
        <v>70</v>
      </c>
      <c r="B72" t="s" s="240">
        <v>1528</v>
      </c>
      <c r="C72" t="s" s="102">
        <v>1157</v>
      </c>
      <c r="D72" s="50">
        <v>71</v>
      </c>
      <c r="E72" s="147"/>
    </row>
    <row r="73" spans="1:5">
      <c r="A73" s="98">
        <v>71</v>
      </c>
      <c r="B73" t="s" s="240">
        <v>359</v>
      </c>
      <c r="C73" t="s" s="102">
        <v>564</v>
      </c>
      <c r="D73" s="50">
        <v>72</v>
      </c>
      <c r="E73" s="147"/>
    </row>
    <row r="74" spans="1:5">
      <c r="A74" s="98">
        <v>72</v>
      </c>
      <c r="B74" t="s" s="240">
        <v>683</v>
      </c>
      <c r="C74" t="s" s="102">
        <v>417</v>
      </c>
      <c r="D74" s="50">
        <v>73</v>
      </c>
      <c r="E74" s="147"/>
    </row>
    <row r="75" spans="1:5">
      <c r="A75" s="98">
        <v>73</v>
      </c>
      <c r="B75" t="s" s="240">
        <v>772</v>
      </c>
      <c r="C75" t="s" s="102">
        <v>591</v>
      </c>
      <c r="D75" s="50">
        <v>74</v>
      </c>
      <c r="E75" s="147"/>
    </row>
    <row r="76" spans="1:5">
      <c r="A76" s="98">
        <v>74</v>
      </c>
      <c r="B76" t="s" s="240">
        <v>1152</v>
      </c>
      <c r="C76" t="s" s="102">
        <v>728</v>
      </c>
      <c r="D76" s="50">
        <v>75</v>
      </c>
      <c r="E76" s="147"/>
    </row>
    <row r="77" spans="1:5">
      <c r="A77" s="98">
        <v>75</v>
      </c>
      <c r="B77" t="s" s="240">
        <v>1625</v>
      </c>
      <c r="C77" t="s" s="102">
        <v>1063</v>
      </c>
      <c r="D77" s="50">
        <v>76</v>
      </c>
      <c r="E77" s="147"/>
    </row>
    <row r="78" spans="1:5">
      <c r="A78" s="98">
        <v>76</v>
      </c>
      <c r="B78" t="s" s="240">
        <v>54</v>
      </c>
      <c r="C78" t="s" s="102">
        <v>126</v>
      </c>
      <c r="D78" s="50">
        <v>77</v>
      </c>
      <c r="E78" s="147"/>
    </row>
    <row r="79" spans="1:5">
      <c r="A79" s="98">
        <v>77</v>
      </c>
      <c r="B79" t="s" s="240">
        <v>883</v>
      </c>
      <c r="C79" t="s" s="102">
        <v>883</v>
      </c>
      <c r="D79" s="50">
        <v>78</v>
      </c>
      <c r="E79" s="147"/>
    </row>
    <row r="80" spans="1:5">
      <c r="A80" s="98">
        <v>78</v>
      </c>
      <c r="B80" t="s" s="240">
        <v>945</v>
      </c>
      <c r="C80" t="s" s="102">
        <v>726</v>
      </c>
      <c r="D80" s="50">
        <v>79</v>
      </c>
      <c r="E80" s="147"/>
    </row>
    <row r="81" spans="1:5">
      <c r="A81" s="98">
        <v>79</v>
      </c>
      <c r="B81" t="s" s="240">
        <v>1313</v>
      </c>
      <c r="C81" t="s" s="102">
        <v>1313</v>
      </c>
      <c r="D81" s="50">
        <v>80</v>
      </c>
      <c r="E81" s="147"/>
    </row>
    <row r="82" spans="1:5">
      <c r="A82" s="98">
        <v>80</v>
      </c>
      <c r="B82" t="s" s="240">
        <v>360</v>
      </c>
      <c r="C82" t="s" s="102">
        <v>285</v>
      </c>
      <c r="D82" s="50">
        <v>81</v>
      </c>
      <c r="E82" s="147"/>
    </row>
    <row r="83" spans="1:5">
      <c r="A83" s="98">
        <v>81</v>
      </c>
      <c r="B83" t="s" s="240">
        <v>193</v>
      </c>
      <c r="C83" t="s" s="102">
        <v>969</v>
      </c>
      <c r="D83" s="50">
        <v>82</v>
      </c>
      <c r="E83" s="147"/>
    </row>
    <row r="84" spans="1:5">
      <c r="A84" s="98">
        <v>82</v>
      </c>
      <c r="B84" t="s" s="240">
        <v>290</v>
      </c>
      <c r="C84" t="s" s="102">
        <v>842</v>
      </c>
      <c r="D84" s="50">
        <v>83</v>
      </c>
      <c r="E84" s="147"/>
    </row>
    <row r="85" spans="1:5">
      <c r="A85" s="98">
        <v>83</v>
      </c>
      <c r="B85" t="s" s="240">
        <v>604</v>
      </c>
      <c r="C85" s="102"/>
      <c r="D85" s="50">
        <v>84</v>
      </c>
      <c r="E85" s="147"/>
    </row>
    <row r="86" spans="1:5">
      <c r="A86" s="98">
        <v>84</v>
      </c>
      <c r="B86" t="s" s="240">
        <v>337</v>
      </c>
      <c r="C86" s="102">
        <v>44</v>
      </c>
      <c r="D86" s="50">
        <v>85</v>
      </c>
      <c r="E86" s="147">
        <v>9</v>
      </c>
    </row>
    <row r="87" spans="1:5">
      <c r="A87" s="98">
        <v>85</v>
      </c>
      <c r="B87" t="s" s="240">
        <v>758</v>
      </c>
      <c r="C87" t="s" s="102">
        <v>146</v>
      </c>
      <c r="D87" s="50">
        <v>86</v>
      </c>
      <c r="E87" s="147"/>
    </row>
    <row r="88" spans="1:5">
      <c r="A88" s="98">
        <v>86</v>
      </c>
      <c r="B88" t="s" s="240">
        <v>1023</v>
      </c>
      <c r="C88" t="s" s="102">
        <v>754</v>
      </c>
      <c r="D88" s="50">
        <v>87</v>
      </c>
      <c r="E88" s="147"/>
    </row>
    <row r="89" spans="1:5">
      <c r="A89" s="98">
        <v>87</v>
      </c>
      <c r="B89" t="s" s="240">
        <v>444</v>
      </c>
      <c r="C89" t="s" s="102">
        <v>975</v>
      </c>
      <c r="D89" s="50">
        <v>88</v>
      </c>
      <c r="E89" s="147"/>
    </row>
    <row r="90" spans="1:5">
      <c r="A90" s="98">
        <v>88</v>
      </c>
      <c r="B90" t="s" s="240">
        <v>110</v>
      </c>
      <c r="C90" t="s" s="102">
        <v>369</v>
      </c>
      <c r="D90" s="50">
        <v>89</v>
      </c>
      <c r="E90" s="147"/>
    </row>
    <row r="91" spans="1:5">
      <c r="A91" s="98">
        <v>89</v>
      </c>
      <c r="B91" t="s" s="240">
        <v>295</v>
      </c>
      <c r="C91" s="47">
        <v>56</v>
      </c>
      <c r="D91" s="50">
        <v>90</v>
      </c>
      <c r="E91" s="147">
        <v>7</v>
      </c>
    </row>
    <row r="92" spans="1:5">
      <c r="A92" s="98">
        <v>90</v>
      </c>
      <c r="B92" t="s" s="240">
        <v>1274</v>
      </c>
      <c r="C92" t="s" s="102">
        <v>990</v>
      </c>
      <c r="D92" s="50">
        <v>91</v>
      </c>
      <c r="E92" s="147"/>
    </row>
    <row r="93" spans="1:5">
      <c r="A93" s="98">
        <v>91</v>
      </c>
      <c r="B93" t="s" s="240">
        <v>676</v>
      </c>
      <c r="C93" t="s" s="102">
        <v>869</v>
      </c>
      <c r="D93" s="50">
        <v>92</v>
      </c>
      <c r="E93" s="147"/>
    </row>
    <row r="94" spans="1:5">
      <c r="A94" s="98">
        <v>92</v>
      </c>
      <c r="B94" t="s" s="240">
        <v>284</v>
      </c>
      <c r="C94" t="s" s="102">
        <v>533</v>
      </c>
      <c r="D94" s="50">
        <v>93</v>
      </c>
      <c r="E94" s="147"/>
    </row>
    <row r="95" spans="1:5">
      <c r="A95" s="98">
        <v>93</v>
      </c>
      <c r="B95" t="s" s="240">
        <v>1675</v>
      </c>
      <c r="C95" t="s" s="102">
        <v>874</v>
      </c>
      <c r="D95" s="50">
        <v>94</v>
      </c>
      <c r="E95" s="147"/>
    </row>
    <row r="96" spans="1:5">
      <c r="A96" s="98">
        <v>94</v>
      </c>
      <c r="B96" t="s" s="240">
        <v>194</v>
      </c>
      <c r="C96" t="s" s="102">
        <v>1637</v>
      </c>
      <c r="D96" s="50">
        <v>95</v>
      </c>
      <c r="E96" s="147"/>
    </row>
    <row r="97" spans="1:5">
      <c r="A97" s="98">
        <v>95</v>
      </c>
      <c r="B97" t="s" s="240">
        <v>941</v>
      </c>
      <c r="C97" t="s" s="102">
        <v>941</v>
      </c>
      <c r="D97" s="50">
        <v>96</v>
      </c>
      <c r="E97" s="147"/>
    </row>
    <row r="98" spans="1:5">
      <c r="A98" s="98">
        <v>96</v>
      </c>
      <c r="B98" t="s" s="240">
        <v>413</v>
      </c>
      <c r="C98" t="s" s="102">
        <v>107</v>
      </c>
      <c r="D98" s="50">
        <v>97</v>
      </c>
      <c r="E98" s="147"/>
    </row>
    <row r="99" spans="1:5">
      <c r="A99" s="98">
        <v>97</v>
      </c>
      <c r="B99" t="s" s="240">
        <v>268</v>
      </c>
      <c r="C99" t="s" s="102">
        <v>1463</v>
      </c>
      <c r="D99" s="50">
        <v>98</v>
      </c>
      <c r="E99" s="147"/>
    </row>
    <row r="100" spans="1:5">
      <c r="A100" s="98">
        <v>98</v>
      </c>
      <c r="B100" t="s" s="240">
        <v>389</v>
      </c>
      <c r="C100" t="s" s="102">
        <v>1795</v>
      </c>
      <c r="D100" s="50">
        <v>99</v>
      </c>
      <c r="E100" s="147"/>
    </row>
    <row r="101" spans="1:5">
      <c r="A101" s="98">
        <v>99</v>
      </c>
      <c r="B101" t="s" s="240">
        <v>1747</v>
      </c>
      <c r="C101" t="s" s="102">
        <v>1685</v>
      </c>
      <c r="D101" s="50">
        <v>100</v>
      </c>
      <c r="E101" s="147"/>
    </row>
    <row r="102" spans="1:5">
      <c r="A102" s="98">
        <v>100</v>
      </c>
      <c r="B102" t="s" s="240">
        <v>1285</v>
      </c>
      <c r="C102" t="s" s="102">
        <v>1101</v>
      </c>
      <c r="D102" s="50">
        <v>101</v>
      </c>
      <c r="E102" s="147"/>
    </row>
    <row r="103" spans="1:5">
      <c r="A103" s="98">
        <v>101</v>
      </c>
      <c r="B103" t="s" s="240">
        <v>211</v>
      </c>
      <c r="C103" t="s" s="102">
        <v>1591</v>
      </c>
      <c r="D103" s="50">
        <v>102</v>
      </c>
      <c r="E103" s="147"/>
    </row>
    <row r="104" spans="1:5">
      <c r="A104" s="98">
        <v>102</v>
      </c>
      <c r="B104" t="s" s="240">
        <v>1718</v>
      </c>
      <c r="C104" s="102">
        <v>30</v>
      </c>
      <c r="D104" s="50">
        <v>103</v>
      </c>
      <c r="E104" s="147">
        <v>8</v>
      </c>
    </row>
    <row r="105" spans="1:5">
      <c r="A105" s="98">
        <v>103</v>
      </c>
      <c r="B105" t="s" s="240">
        <v>1756</v>
      </c>
      <c r="C105" s="147"/>
      <c r="D105" s="50">
        <v>104</v>
      </c>
      <c r="E105" s="147"/>
    </row>
    <row r="106" spans="1:5">
      <c r="A106" s="98">
        <v>104</v>
      </c>
      <c r="B106" t="s" s="240">
        <v>1506</v>
      </c>
      <c r="C106" s="147"/>
      <c r="D106" s="50">
        <v>105</v>
      </c>
      <c r="E106" s="147"/>
    </row>
    <row r="107" spans="1:5">
      <c r="A107" s="98">
        <v>105</v>
      </c>
      <c r="B107" t="s" s="240">
        <v>183</v>
      </c>
      <c r="C107" t="s" s="102">
        <v>1786</v>
      </c>
      <c r="D107" s="50">
        <v>106</v>
      </c>
      <c r="E107" s="147"/>
    </row>
    <row r="108" spans="1:5">
      <c r="A108" s="98">
        <v>106</v>
      </c>
      <c r="B108" t="s" s="240">
        <v>1794</v>
      </c>
      <c r="C108" t="s" s="102">
        <v>981</v>
      </c>
      <c r="D108" s="50">
        <v>107</v>
      </c>
      <c r="E108" s="147"/>
    </row>
    <row r="109" spans="1:5">
      <c r="A109" s="98">
        <v>107</v>
      </c>
      <c r="B109" t="s" s="240">
        <v>1068</v>
      </c>
      <c r="C109" t="s" s="102">
        <v>1158</v>
      </c>
      <c r="D109" s="50">
        <v>108</v>
      </c>
      <c r="E109" s="147"/>
    </row>
    <row r="110" spans="1:5">
      <c r="A110" s="98">
        <v>108</v>
      </c>
      <c r="B110" t="s" s="240">
        <v>1614</v>
      </c>
      <c r="C110" t="s" s="102">
        <v>1085</v>
      </c>
      <c r="D110" s="50">
        <v>109</v>
      </c>
      <c r="E110" s="147"/>
    </row>
    <row r="111" spans="1:5">
      <c r="A111" s="98">
        <v>109</v>
      </c>
      <c r="B111" t="s" s="240">
        <v>880</v>
      </c>
      <c r="C111" t="s" s="102">
        <v>1801</v>
      </c>
      <c r="D111" s="50">
        <v>110</v>
      </c>
      <c r="E111" s="147"/>
    </row>
    <row r="112" spans="1:5">
      <c r="A112" s="98">
        <v>110</v>
      </c>
      <c r="B112" t="s" s="240">
        <v>293</v>
      </c>
      <c r="C112" t="s" s="102">
        <v>1097</v>
      </c>
      <c r="D112" s="50">
        <v>111</v>
      </c>
      <c r="E112" s="147"/>
    </row>
    <row r="113" spans="1:5">
      <c r="A113" s="98">
        <v>111</v>
      </c>
      <c r="B113" t="s" s="240">
        <v>1059</v>
      </c>
      <c r="C113" t="s" s="102">
        <v>287</v>
      </c>
      <c r="D113" s="50">
        <v>112</v>
      </c>
      <c r="E113" s="147"/>
    </row>
    <row r="114" spans="1:5">
      <c r="A114" s="98">
        <v>112</v>
      </c>
      <c r="B114" t="s" s="240">
        <v>1336</v>
      </c>
      <c r="C114" t="s" s="102">
        <v>314</v>
      </c>
      <c r="D114" s="50">
        <v>113</v>
      </c>
      <c r="E114" s="147"/>
    </row>
    <row r="115" spans="1:5">
      <c r="A115" s="98">
        <v>113</v>
      </c>
      <c r="B115" t="s" s="240">
        <v>1571</v>
      </c>
      <c r="C115" t="s" s="102">
        <v>66</v>
      </c>
      <c r="D115" s="50">
        <v>114</v>
      </c>
      <c r="E115" s="147"/>
    </row>
    <row r="116" spans="1:5">
      <c r="A116" s="98">
        <v>114</v>
      </c>
      <c r="B116" t="s" s="240">
        <v>494</v>
      </c>
      <c r="C116" t="s" s="102">
        <v>1385</v>
      </c>
      <c r="D116" s="50">
        <v>115</v>
      </c>
      <c r="E116" s="147"/>
    </row>
    <row r="117" spans="1:5">
      <c r="A117" s="98">
        <v>115</v>
      </c>
      <c r="B117" t="s" s="240">
        <v>1311</v>
      </c>
      <c r="C117" t="s" s="102">
        <v>1651</v>
      </c>
      <c r="D117" s="50">
        <v>116</v>
      </c>
      <c r="E117" s="147"/>
    </row>
    <row r="118" spans="1:5">
      <c r="A118" s="98">
        <v>116</v>
      </c>
      <c r="B118" t="s" s="240">
        <v>1412</v>
      </c>
      <c r="C118" t="s" s="102">
        <v>454</v>
      </c>
      <c r="D118" s="50">
        <v>117</v>
      </c>
      <c r="E118" s="147"/>
    </row>
    <row r="119" spans="1:5">
      <c r="A119" s="98">
        <v>117</v>
      </c>
      <c r="B119" t="s" s="240">
        <v>229</v>
      </c>
      <c r="C119" t="s" s="102">
        <v>1702</v>
      </c>
      <c r="D119" s="50">
        <v>118</v>
      </c>
      <c r="E119" s="147"/>
    </row>
    <row r="120" spans="1:5">
      <c r="A120" s="98">
        <v>118</v>
      </c>
      <c r="B120" t="s" s="240">
        <v>561</v>
      </c>
      <c r="C120" t="s" s="102">
        <v>1109</v>
      </c>
      <c r="D120" s="50">
        <v>119</v>
      </c>
      <c r="E120" s="147"/>
    </row>
    <row r="121" spans="1:5">
      <c r="A121" s="98">
        <v>119</v>
      </c>
      <c r="B121" t="s" s="240">
        <v>868</v>
      </c>
      <c r="C121" t="s" s="102">
        <v>261</v>
      </c>
      <c r="D121" s="50">
        <v>120</v>
      </c>
      <c r="E121" s="147"/>
    </row>
    <row r="122" spans="1:5">
      <c r="A122" s="98">
        <v>120</v>
      </c>
      <c r="B122" t="s" s="240">
        <v>1728</v>
      </c>
      <c r="C122" t="s" s="102">
        <v>745</v>
      </c>
      <c r="D122" s="50">
        <v>121</v>
      </c>
      <c r="E122" s="147"/>
    </row>
    <row r="123" spans="1:5">
      <c r="A123" s="98">
        <v>121</v>
      </c>
      <c r="B123" t="s" s="240">
        <v>850</v>
      </c>
      <c r="C123" t="s" s="102">
        <v>1436</v>
      </c>
      <c r="D123" s="50">
        <v>122</v>
      </c>
      <c r="E123" s="147"/>
    </row>
    <row r="124" spans="1:5">
      <c r="A124" s="98">
        <v>122</v>
      </c>
      <c r="B124" t="s" s="240">
        <v>312</v>
      </c>
      <c r="C124" t="s" s="102">
        <v>1737</v>
      </c>
      <c r="D124" s="50">
        <v>123</v>
      </c>
      <c r="E124" s="147"/>
    </row>
    <row r="125" spans="1:5">
      <c r="A125" s="98">
        <v>123</v>
      </c>
      <c r="B125" t="s" s="240">
        <v>20</v>
      </c>
      <c r="C125" t="s" s="102">
        <v>84</v>
      </c>
      <c r="D125" s="50">
        <v>124</v>
      </c>
      <c r="E125" s="147"/>
    </row>
    <row r="126" spans="1:5">
      <c r="A126" s="98">
        <v>124</v>
      </c>
      <c r="B126" t="s" s="240">
        <v>1597</v>
      </c>
      <c r="C126" t="s" s="102">
        <v>808</v>
      </c>
      <c r="D126" s="50">
        <v>125</v>
      </c>
      <c r="E126" s="147"/>
    </row>
    <row r="127" spans="1:5">
      <c r="A127" s="98">
        <v>125</v>
      </c>
      <c r="B127" t="s" s="240">
        <v>1442</v>
      </c>
      <c r="C127" t="s" s="102">
        <v>1769</v>
      </c>
      <c r="D127" s="50">
        <v>126</v>
      </c>
      <c r="E127" s="147"/>
    </row>
    <row r="128" spans="1:5">
      <c r="A128" s="98">
        <v>126</v>
      </c>
      <c r="B128" t="s" s="240">
        <v>730</v>
      </c>
      <c r="C128" t="s" s="102">
        <v>1495</v>
      </c>
      <c r="D128" s="50">
        <v>127</v>
      </c>
      <c r="E128" s="147"/>
    </row>
    <row r="129" spans="1:8">
      <c r="A129" s="98">
        <v>127</v>
      </c>
      <c r="B129" t="s" s="240">
        <v>407</v>
      </c>
      <c r="C129" t="s" s="102">
        <v>1280</v>
      </c>
      <c r="D129" s="50">
        <v>128</v>
      </c>
      <c r="E129" s="147"/>
    </row>
    <row r="130" spans="1:8">
      <c r="A130" s="98">
        <v>128</v>
      </c>
      <c r="B130" t="s" s="240">
        <v>349</v>
      </c>
      <c r="C130" t="s" s="102">
        <v>1827</v>
      </c>
      <c r="D130" s="50">
        <v>129</v>
      </c>
      <c r="E130" s="147"/>
      <c r="H130" s="80"/>
    </row>
    <row r="131" spans="1:8">
      <c r="A131" s="98">
        <v>129</v>
      </c>
      <c r="B131" t="s" s="240">
        <v>855</v>
      </c>
      <c r="C131" t="s" s="102">
        <v>988</v>
      </c>
      <c r="D131" s="50">
        <v>130</v>
      </c>
      <c r="E131" s="147"/>
      <c r="H131" s="80"/>
    </row>
    <row r="132" spans="1:8">
      <c r="A132" s="98">
        <v>130</v>
      </c>
      <c r="B132" t="s" s="240">
        <v>799</v>
      </c>
      <c r="C132" t="s" s="102">
        <v>5</v>
      </c>
      <c r="D132" s="50">
        <v>131</v>
      </c>
      <c r="E132" s="147"/>
      <c r="H132" s="80"/>
    </row>
    <row r="133" spans="1:8">
      <c r="A133" s="98">
        <v>131</v>
      </c>
      <c r="B133" t="s" s="240">
        <v>1047</v>
      </c>
      <c r="C133" t="s" s="102">
        <v>459</v>
      </c>
      <c r="D133" s="50">
        <v>132</v>
      </c>
      <c r="E133" s="147"/>
      <c r="H133" s="80"/>
    </row>
    <row r="134" spans="1:8">
      <c r="A134" s="98">
        <v>132</v>
      </c>
      <c r="B134" t="s" s="240">
        <v>638</v>
      </c>
      <c r="C134" t="s" s="102">
        <v>496</v>
      </c>
      <c r="D134" s="50">
        <v>133</v>
      </c>
      <c r="E134" s="147"/>
      <c r="H134" s="80"/>
    </row>
    <row r="135" spans="1:8">
      <c r="A135" s="98">
        <v>133</v>
      </c>
      <c r="B135" t="s" s="240">
        <v>514</v>
      </c>
      <c r="C135" t="s" s="102">
        <v>237</v>
      </c>
      <c r="D135" s="50">
        <v>134</v>
      </c>
      <c r="E135" s="147"/>
      <c r="H135" s="80"/>
    </row>
    <row r="136" spans="1:8">
      <c r="A136" s="98">
        <v>134</v>
      </c>
      <c r="B136" t="s" s="240">
        <v>495</v>
      </c>
      <c r="C136" t="s" s="102">
        <v>1147</v>
      </c>
      <c r="D136" s="50">
        <v>135</v>
      </c>
      <c r="E136" s="147"/>
      <c r="H136" s="80"/>
    </row>
    <row r="137" spans="1:8">
      <c r="A137" s="98">
        <v>135</v>
      </c>
      <c r="B137" t="s" s="240">
        <v>1360</v>
      </c>
      <c r="C137" t="s" s="102">
        <v>1360</v>
      </c>
      <c r="D137" s="50">
        <v>136</v>
      </c>
      <c r="E137" s="147"/>
      <c r="H137" s="80"/>
    </row>
    <row r="138" spans="1:8">
      <c r="A138" s="98">
        <v>136</v>
      </c>
      <c r="B138" t="s" s="240">
        <v>453</v>
      </c>
      <c r="C138" t="s" s="102">
        <v>286</v>
      </c>
      <c r="D138" s="50">
        <v>137</v>
      </c>
      <c r="E138" s="147"/>
    </row>
    <row r="139" spans="1:8">
      <c r="A139" s="98">
        <v>137</v>
      </c>
      <c r="B139" t="s" s="240">
        <v>685</v>
      </c>
      <c r="C139" t="s" s="102">
        <v>1449</v>
      </c>
      <c r="D139" s="50">
        <v>138</v>
      </c>
      <c r="E139" s="147"/>
    </row>
    <row r="140" spans="1:8">
      <c r="A140" s="98">
        <v>138</v>
      </c>
      <c r="B140" t="s" s="240">
        <v>1220</v>
      </c>
      <c r="C140" t="s" s="102">
        <v>1417</v>
      </c>
      <c r="D140" s="50">
        <v>139</v>
      </c>
      <c r="E140" s="147"/>
    </row>
    <row r="141" spans="1:8">
      <c r="A141" s="98">
        <v>139</v>
      </c>
      <c r="B141" t="s" s="240">
        <v>636</v>
      </c>
      <c r="C141" t="s" s="102">
        <v>266</v>
      </c>
      <c r="D141" s="50">
        <v>140</v>
      </c>
      <c r="E141" s="147"/>
    </row>
    <row r="142" spans="1:8">
      <c r="A142" s="98">
        <v>140</v>
      </c>
      <c r="B142" t="s" s="240">
        <v>545</v>
      </c>
      <c r="C142" t="s" s="102">
        <v>807</v>
      </c>
      <c r="D142" s="50">
        <v>141</v>
      </c>
      <c r="E142" s="147"/>
    </row>
    <row r="143" spans="1:8">
      <c r="A143" s="98">
        <v>141</v>
      </c>
      <c r="B143" t="s" s="240">
        <v>731</v>
      </c>
      <c r="C143" t="s" s="102">
        <v>1667</v>
      </c>
      <c r="D143" s="50">
        <v>142</v>
      </c>
      <c r="E143" s="147"/>
    </row>
    <row r="144" spans="1:8">
      <c r="A144" s="98">
        <v>142</v>
      </c>
      <c r="B144" t="s" s="240">
        <v>904</v>
      </c>
      <c r="C144" t="s" s="102">
        <v>1145</v>
      </c>
      <c r="D144" s="50">
        <v>143</v>
      </c>
      <c r="E144" s="147"/>
    </row>
    <row r="145" spans="1:5">
      <c r="A145" s="98">
        <v>143</v>
      </c>
      <c r="B145" t="s" s="240">
        <v>1358</v>
      </c>
      <c r="C145" t="s" s="102">
        <v>1270</v>
      </c>
      <c r="D145" s="50">
        <v>144</v>
      </c>
      <c r="E145" s="147"/>
    </row>
    <row r="146" spans="1:5">
      <c r="A146" s="98">
        <v>144</v>
      </c>
      <c r="B146" t="s" s="240">
        <v>602</v>
      </c>
      <c r="C146" t="s" s="102">
        <v>1262</v>
      </c>
      <c r="D146" s="50">
        <v>145</v>
      </c>
      <c r="E146" s="147"/>
    </row>
    <row r="147" spans="1:5">
      <c r="A147" s="98">
        <v>145</v>
      </c>
      <c r="B147" t="s" s="240">
        <v>1473</v>
      </c>
      <c r="C147" t="s" s="102">
        <v>1472</v>
      </c>
      <c r="D147" s="50">
        <v>146</v>
      </c>
      <c r="E147" s="147"/>
    </row>
    <row r="148" spans="1:5">
      <c r="A148" s="98">
        <v>146</v>
      </c>
      <c r="B148" t="s" s="240">
        <v>1200</v>
      </c>
      <c r="C148" s="102"/>
      <c r="D148" s="50">
        <v>147</v>
      </c>
      <c r="E148" s="147"/>
    </row>
    <row r="149" spans="1:5">
      <c r="A149" s="98">
        <v>147</v>
      </c>
      <c r="B149" t="s" s="240">
        <v>1738</v>
      </c>
      <c r="C149" t="s" s="102">
        <v>1709</v>
      </c>
      <c r="D149" s="50">
        <v>148</v>
      </c>
      <c r="E149" s="147"/>
    </row>
    <row r="150" spans="1:5">
      <c r="A150" s="98">
        <v>148</v>
      </c>
      <c r="B150" t="s" s="240">
        <v>1804</v>
      </c>
      <c r="C150" t="s" s="102">
        <v>1018</v>
      </c>
      <c r="D150" s="50">
        <v>149</v>
      </c>
      <c r="E150" s="147"/>
    </row>
    <row r="151" spans="1:5">
      <c r="A151" s="98">
        <v>149</v>
      </c>
      <c r="B151" t="s" s="240">
        <v>220</v>
      </c>
      <c r="C151" t="s" s="102">
        <v>1444</v>
      </c>
      <c r="D151" s="50">
        <v>150</v>
      </c>
      <c r="E151" s="147"/>
    </row>
    <row r="152" spans="1:5">
      <c r="A152" s="98">
        <v>150</v>
      </c>
      <c r="B152" t="s" s="240">
        <v>1331</v>
      </c>
      <c r="C152" t="s" s="102">
        <v>1275</v>
      </c>
      <c r="D152" s="50">
        <v>151</v>
      </c>
      <c r="E152" s="147"/>
    </row>
    <row r="153" spans="1:5">
      <c r="A153" s="98">
        <v>151</v>
      </c>
      <c r="B153" t="s" s="240">
        <v>1100</v>
      </c>
      <c r="C153" t="s" s="102">
        <v>1650</v>
      </c>
      <c r="D153" s="50">
        <v>152</v>
      </c>
      <c r="E153" s="147"/>
    </row>
    <row r="154" spans="1:5">
      <c r="A154" s="98">
        <v>152</v>
      </c>
      <c r="B154" t="s" s="240">
        <v>1789</v>
      </c>
      <c r="C154" t="s" s="102">
        <v>915</v>
      </c>
      <c r="D154" s="50">
        <v>153</v>
      </c>
      <c r="E154" s="147"/>
    </row>
    <row r="155" spans="1:5">
      <c r="A155" s="98">
        <v>153</v>
      </c>
      <c r="B155" t="s" s="240">
        <v>1082</v>
      </c>
      <c r="C155" s="102"/>
      <c r="D155" s="50">
        <v>154</v>
      </c>
      <c r="E155" s="147"/>
    </row>
    <row r="156" spans="1:5">
      <c r="A156" s="98">
        <v>154</v>
      </c>
      <c r="B156" t="s" s="240">
        <v>776</v>
      </c>
      <c r="C156" s="102"/>
      <c r="D156" s="50">
        <v>155</v>
      </c>
      <c r="E156" s="147"/>
    </row>
    <row r="157" spans="1:5">
      <c r="A157" s="98">
        <v>155</v>
      </c>
      <c r="B157" t="s" s="240">
        <v>1248</v>
      </c>
      <c r="C157" s="102"/>
      <c r="D157" s="50">
        <v>156</v>
      </c>
      <c r="E157" s="147"/>
    </row>
    <row r="158" spans="1:5">
      <c r="A158" s="98">
        <v>156</v>
      </c>
      <c r="B158" t="s" s="240">
        <v>769</v>
      </c>
      <c r="C158" s="102"/>
      <c r="D158" s="50">
        <v>157</v>
      </c>
      <c r="E158" s="147"/>
    </row>
    <row r="159" spans="1:5">
      <c r="A159" s="98">
        <v>157</v>
      </c>
      <c r="B159" t="s" s="240">
        <v>1764</v>
      </c>
      <c r="C159" s="102">
        <v>77</v>
      </c>
      <c r="D159" s="50">
        <v>158</v>
      </c>
      <c r="E159" s="147">
        <v>20</v>
      </c>
    </row>
    <row r="160" spans="1:5">
      <c r="A160" s="98">
        <v>158</v>
      </c>
      <c r="B160" t="s" s="240">
        <v>1433</v>
      </c>
      <c r="C160" s="102"/>
      <c r="D160" s="50">
        <v>159</v>
      </c>
      <c r="E160" s="147"/>
    </row>
    <row r="161" spans="1:5">
      <c r="A161" s="98">
        <v>159</v>
      </c>
      <c r="B161" t="s" s="240">
        <v>1077</v>
      </c>
      <c r="C161" s="102"/>
      <c r="D161" s="50">
        <v>160</v>
      </c>
      <c r="E161" s="147"/>
    </row>
    <row r="162" spans="1:5">
      <c r="A162" s="98">
        <v>160</v>
      </c>
      <c r="B162" t="s" s="240">
        <v>142</v>
      </c>
      <c r="C162" s="102"/>
      <c r="D162" s="50">
        <v>161</v>
      </c>
      <c r="E162" s="147"/>
    </row>
    <row r="163" spans="1:5">
      <c r="A163" s="98">
        <v>161</v>
      </c>
      <c r="B163" t="s" s="240">
        <v>1334</v>
      </c>
      <c r="C163" s="102">
        <v>67</v>
      </c>
      <c r="D163" s="50">
        <v>162</v>
      </c>
      <c r="E163" s="147">
        <v>10</v>
      </c>
    </row>
    <row r="164" spans="1:5">
      <c r="A164" s="98">
        <v>162</v>
      </c>
      <c r="B164" t="s" s="240">
        <v>90</v>
      </c>
      <c r="C164" t="s" s="102">
        <v>1507</v>
      </c>
      <c r="D164" s="50">
        <v>163</v>
      </c>
      <c r="E164" s="147">
        <v>9</v>
      </c>
    </row>
    <row r="165" spans="1:5">
      <c r="A165" s="98">
        <v>163</v>
      </c>
      <c r="B165" t="s" s="240">
        <v>1534</v>
      </c>
      <c r="C165" t="s" s="102">
        <v>1060</v>
      </c>
      <c r="D165" s="50">
        <v>164</v>
      </c>
      <c r="E165" s="147"/>
    </row>
    <row r="166" spans="1:5">
      <c r="A166" s="98">
        <v>164</v>
      </c>
      <c r="B166" t="s" s="240">
        <v>1623</v>
      </c>
      <c r="C166" s="102">
        <v>74</v>
      </c>
      <c r="D166" s="50">
        <v>165</v>
      </c>
      <c r="E166" s="147">
        <v>11</v>
      </c>
    </row>
    <row r="167" spans="1:5">
      <c r="A167" s="98">
        <v>165</v>
      </c>
      <c r="B167" t="s" s="240">
        <v>11</v>
      </c>
      <c r="C167" s="102">
        <v>75</v>
      </c>
      <c r="D167" s="50">
        <v>166</v>
      </c>
      <c r="E167" s="147">
        <v>12</v>
      </c>
    </row>
    <row r="168" spans="1:5">
      <c r="A168" s="98">
        <v>166</v>
      </c>
      <c r="B168" t="s" s="240">
        <v>1694</v>
      </c>
      <c r="C168" t="s" s="102">
        <v>1644</v>
      </c>
      <c r="D168" s="50">
        <v>167</v>
      </c>
      <c r="E168" s="147"/>
    </row>
    <row r="169" spans="1:5">
      <c r="A169" s="98">
        <v>167</v>
      </c>
      <c r="B169" t="s" s="240">
        <v>736</v>
      </c>
      <c r="C169" s="102">
        <v>82</v>
      </c>
      <c r="D169" s="50">
        <v>168</v>
      </c>
      <c r="E169" s="147">
        <v>13</v>
      </c>
    </row>
    <row r="170" spans="1:5">
      <c r="A170" s="98">
        <v>168</v>
      </c>
      <c r="B170" t="s" s="240">
        <v>1267</v>
      </c>
      <c r="C170" t="s" s="102">
        <v>582</v>
      </c>
      <c r="D170" s="50"/>
      <c r="E170" s="147"/>
    </row>
    <row r="171" spans="1:5">
      <c r="A171" s="98">
        <v>169</v>
      </c>
      <c r="B171" t="s" s="240">
        <v>1138</v>
      </c>
      <c r="C171" t="s" s="102">
        <v>1379</v>
      </c>
      <c r="D171" s="50">
        <v>170</v>
      </c>
      <c r="E171" s="147"/>
    </row>
    <row r="172" spans="1:5">
      <c r="A172" s="98">
        <v>170</v>
      </c>
      <c r="B172" t="s" s="240">
        <v>1120</v>
      </c>
      <c r="C172" s="102">
        <v>111</v>
      </c>
      <c r="D172" s="50">
        <v>171</v>
      </c>
      <c r="E172" s="147">
        <v>14</v>
      </c>
    </row>
    <row r="173" spans="1:5">
      <c r="A173" s="98">
        <v>171</v>
      </c>
      <c r="B173" t="s" s="240">
        <v>37</v>
      </c>
      <c r="C173" s="102">
        <v>112</v>
      </c>
      <c r="D173" s="50">
        <v>172</v>
      </c>
      <c r="E173" s="147">
        <v>15</v>
      </c>
    </row>
    <row r="174" spans="1:5">
      <c r="A174" s="98">
        <v>172</v>
      </c>
      <c r="B174" t="s" s="240">
        <v>1084</v>
      </c>
      <c r="C174" t="s" s="102">
        <v>1084</v>
      </c>
      <c r="D174" s="50">
        <v>173</v>
      </c>
      <c r="E174" s="147"/>
    </row>
    <row r="175" spans="1:5">
      <c r="A175" s="98">
        <v>173</v>
      </c>
      <c r="B175" t="s" s="240">
        <v>70</v>
      </c>
      <c r="C175" t="s" s="102">
        <v>697</v>
      </c>
      <c r="D175" s="50">
        <v>174</v>
      </c>
      <c r="E175" s="147"/>
    </row>
    <row r="176" spans="1:5">
      <c r="A176" s="98">
        <v>174</v>
      </c>
      <c r="B176" t="s" s="240">
        <v>519</v>
      </c>
      <c r="C176" s="102">
        <v>127</v>
      </c>
      <c r="D176" s="50">
        <v>175</v>
      </c>
      <c r="E176" s="147">
        <v>16</v>
      </c>
    </row>
    <row r="177" spans="1:5">
      <c r="A177" s="98">
        <v>175</v>
      </c>
      <c r="B177" t="s" s="240">
        <v>1134</v>
      </c>
      <c r="C177" s="102">
        <v>130</v>
      </c>
      <c r="D177" s="50">
        <v>176</v>
      </c>
      <c r="E177" s="147">
        <v>17</v>
      </c>
    </row>
    <row r="178" spans="1:5">
      <c r="A178" s="98">
        <v>176</v>
      </c>
      <c r="B178" t="s" s="240">
        <v>1831</v>
      </c>
      <c r="C178" s="102"/>
      <c r="D178" s="50">
        <v>177</v>
      </c>
      <c r="E178" s="147"/>
    </row>
    <row r="179" spans="1:5">
      <c r="A179" s="98">
        <v>177</v>
      </c>
      <c r="B179" t="s" s="240">
        <v>1426</v>
      </c>
      <c r="C179" t="s" s="102">
        <v>924</v>
      </c>
      <c r="D179" s="50">
        <v>178</v>
      </c>
      <c r="E179" s="147"/>
    </row>
    <row r="180" spans="1:5">
      <c r="A180" s="98">
        <v>178</v>
      </c>
      <c r="B180" t="s" s="240">
        <v>1271</v>
      </c>
      <c r="C180" s="102">
        <v>134</v>
      </c>
      <c r="D180" s="50">
        <v>179</v>
      </c>
      <c r="E180" s="147">
        <v>18</v>
      </c>
    </row>
    <row r="181" spans="1:5">
      <c r="A181" s="98">
        <v>179</v>
      </c>
      <c r="B181" t="s" s="240">
        <v>1658</v>
      </c>
      <c r="C181" s="102">
        <v>135</v>
      </c>
      <c r="D181" s="50">
        <v>180</v>
      </c>
      <c r="E181" s="147">
        <v>19</v>
      </c>
    </row>
    <row r="182" spans="1:5">
      <c r="A182" s="98">
        <v>180</v>
      </c>
      <c r="B182" t="s" s="240">
        <v>528</v>
      </c>
      <c r="D182" s="50">
        <v>181</v>
      </c>
      <c r="E182" s="147"/>
    </row>
    <row r="183" spans="1:5">
      <c r="A183" s="98">
        <v>181</v>
      </c>
      <c r="B183" t="s" s="240">
        <v>1414</v>
      </c>
      <c r="C183" s="102"/>
      <c r="D183" s="50">
        <v>183</v>
      </c>
      <c r="E183" s="147"/>
    </row>
    <row r="184" spans="1:5">
      <c r="A184" s="98">
        <v>182</v>
      </c>
      <c r="B184" t="s" s="240">
        <v>1808</v>
      </c>
      <c r="C184" s="102"/>
      <c r="D184" s="50">
        <v>184</v>
      </c>
      <c r="E184" s="147"/>
    </row>
    <row r="185" spans="1:5">
      <c r="A185" s="98">
        <v>183</v>
      </c>
      <c r="B185" t="s" s="240">
        <v>783</v>
      </c>
      <c r="C185" s="102">
        <v>156</v>
      </c>
      <c r="D185" s="50">
        <v>185</v>
      </c>
      <c r="E185" s="147">
        <v>21</v>
      </c>
    </row>
    <row r="186" spans="1:5">
      <c r="A186" s="98">
        <v>184</v>
      </c>
      <c r="B186" t="s" s="240">
        <v>1814</v>
      </c>
      <c r="C186" s="102">
        <v>157</v>
      </c>
      <c r="D186" s="50">
        <v>186</v>
      </c>
      <c r="E186" s="147">
        <v>22</v>
      </c>
    </row>
    <row r="187" spans="1:5">
      <c r="A187" s="98">
        <v>185</v>
      </c>
      <c r="B187" t="s" s="240">
        <v>1216</v>
      </c>
      <c r="C187" s="102">
        <v>158</v>
      </c>
      <c r="D187" s="50">
        <v>187</v>
      </c>
      <c r="E187" s="147">
        <v>23</v>
      </c>
    </row>
    <row r="188" spans="1:5">
      <c r="A188" s="98">
        <v>186</v>
      </c>
      <c r="B188" t="s" s="240">
        <v>1530</v>
      </c>
      <c r="C188" s="102">
        <v>159</v>
      </c>
      <c r="D188" s="50">
        <v>188</v>
      </c>
      <c r="E188" s="147">
        <v>24</v>
      </c>
    </row>
    <row r="189" spans="1:5">
      <c r="A189" s="98">
        <v>187</v>
      </c>
      <c r="B189" t="s" s="240">
        <v>507</v>
      </c>
      <c r="C189" s="102">
        <v>160</v>
      </c>
      <c r="D189" s="50">
        <v>189</v>
      </c>
      <c r="E189" s="147">
        <v>25</v>
      </c>
    </row>
    <row r="190" spans="1:5">
      <c r="A190" s="98">
        <v>188</v>
      </c>
      <c r="B190" t="s" s="240">
        <v>1459</v>
      </c>
      <c r="C190" s="102">
        <v>161</v>
      </c>
      <c r="D190" s="50">
        <v>190</v>
      </c>
      <c r="E190" s="147">
        <v>26</v>
      </c>
    </row>
    <row r="191" spans="1:5">
      <c r="A191" s="98">
        <v>189</v>
      </c>
      <c r="B191" t="s" s="240">
        <v>821</v>
      </c>
      <c r="C191" s="102">
        <v>162</v>
      </c>
      <c r="D191" s="50">
        <v>191</v>
      </c>
      <c r="E191" s="147">
        <v>27</v>
      </c>
    </row>
    <row r="192" spans="1:5">
      <c r="A192" s="98">
        <v>190</v>
      </c>
      <c r="B192" t="s" s="240">
        <v>1232</v>
      </c>
      <c r="C192" s="102">
        <v>163</v>
      </c>
      <c r="D192" s="50">
        <v>192</v>
      </c>
      <c r="E192" s="147">
        <v>28</v>
      </c>
    </row>
    <row r="193" spans="1:5">
      <c r="A193" s="98">
        <v>191</v>
      </c>
      <c r="B193" t="s" s="240">
        <v>819</v>
      </c>
      <c r="C193" s="102">
        <v>164</v>
      </c>
      <c r="D193" s="50">
        <v>193</v>
      </c>
      <c r="E193" s="147">
        <v>29</v>
      </c>
    </row>
    <row r="194" spans="1:5">
      <c r="A194" s="98">
        <v>192</v>
      </c>
      <c r="B194" s="240">
        <v>0</v>
      </c>
      <c r="C194" s="102"/>
      <c r="D194" s="50"/>
      <c r="E194" s="147"/>
    </row>
    <row r="195" spans="1:5">
      <c r="A195" s="98">
        <v>193</v>
      </c>
      <c r="B195" s="240">
        <v>0</v>
      </c>
      <c r="C195" s="102"/>
      <c r="D195" s="50"/>
      <c r="E195" s="147"/>
    </row>
    <row r="196" spans="1:5">
      <c r="A196" s="98">
        <v>194</v>
      </c>
      <c r="B196" s="240">
        <v>0</v>
      </c>
      <c r="C196" s="102"/>
      <c r="D196" s="50"/>
      <c r="E196" s="147"/>
    </row>
    <row r="197" spans="1:5">
      <c r="A197" s="98">
        <v>195</v>
      </c>
      <c r="B197" s="240">
        <v>0</v>
      </c>
      <c r="C197" s="102"/>
      <c r="D197" s="50"/>
      <c r="E197" s="147"/>
    </row>
    <row r="198" spans="1:5">
      <c r="A198" s="98">
        <v>196</v>
      </c>
      <c r="B198" s="240">
        <v>0</v>
      </c>
      <c r="C198" s="102"/>
      <c r="D198" s="50"/>
      <c r="E198" s="147"/>
    </row>
    <row r="199" spans="1:5">
      <c r="A199" s="98">
        <v>197</v>
      </c>
      <c r="B199" s="240">
        <v>0</v>
      </c>
      <c r="C199" s="102"/>
      <c r="D199" s="50"/>
      <c r="E199" s="147"/>
    </row>
    <row r="200" spans="1:5">
      <c r="A200" s="98">
        <v>198</v>
      </c>
      <c r="B200" s="240">
        <v>0</v>
      </c>
      <c r="C200" s="102"/>
      <c r="D200" s="50"/>
      <c r="E200" s="147"/>
    </row>
    <row r="201" spans="1:5">
      <c r="A201" s="98">
        <v>199</v>
      </c>
      <c r="B201" s="240">
        <v>0</v>
      </c>
      <c r="C201" s="102"/>
      <c r="D201" s="50"/>
      <c r="E201" s="147"/>
    </row>
    <row r="202" spans="1:5">
      <c r="A202" s="98">
        <v>200</v>
      </c>
      <c r="B202" s="240">
        <v>0</v>
      </c>
      <c r="C202" s="102"/>
      <c r="D202" s="50"/>
      <c r="E202" s="147"/>
    </row>
    <row r="203" spans="1:5">
      <c r="A203" s="98">
        <v>201</v>
      </c>
      <c r="B203" s="240">
        <v>0</v>
      </c>
      <c r="C203" s="102"/>
      <c r="D203" s="50"/>
      <c r="E203" s="147"/>
    </row>
    <row r="204" spans="1:5">
      <c r="A204" s="98">
        <v>202</v>
      </c>
      <c r="B204" s="240">
        <v>0</v>
      </c>
      <c r="C204" s="102"/>
      <c r="D204" s="50"/>
      <c r="E204" s="147"/>
    </row>
    <row r="205" spans="1:5">
      <c r="A205" s="98">
        <v>203</v>
      </c>
      <c r="B205" s="240">
        <v>0</v>
      </c>
      <c r="C205" s="102"/>
      <c r="D205" s="50"/>
      <c r="E205" s="147"/>
    </row>
    <row r="206" spans="1:5">
      <c r="A206" s="98">
        <v>204</v>
      </c>
      <c r="B206" s="240">
        <v>0</v>
      </c>
      <c r="C206" s="102"/>
      <c r="D206" s="50"/>
      <c r="E206" s="147"/>
    </row>
    <row r="207" spans="1:5">
      <c r="A207" s="98">
        <v>205</v>
      </c>
      <c r="B207" s="240">
        <v>0</v>
      </c>
      <c r="C207" s="102"/>
      <c r="D207" s="50"/>
      <c r="E207" s="147"/>
    </row>
    <row r="208" spans="1:5">
      <c r="A208" s="98">
        <v>206</v>
      </c>
      <c r="B208" s="240">
        <v>0</v>
      </c>
      <c r="C208" s="102"/>
      <c r="D208" s="50"/>
      <c r="E208" s="147"/>
    </row>
    <row r="209" spans="1:5">
      <c r="A209" s="98">
        <v>207</v>
      </c>
      <c r="B209" s="240">
        <v>0</v>
      </c>
      <c r="C209" s="102"/>
      <c r="D209" s="50"/>
      <c r="E209" s="147"/>
    </row>
    <row r="210" spans="1:5">
      <c r="A210" s="98">
        <v>208</v>
      </c>
      <c r="B210" s="240">
        <v>0</v>
      </c>
      <c r="C210" s="102"/>
      <c r="D210" s="50"/>
      <c r="E210" s="147"/>
    </row>
    <row r="211" spans="1:5">
      <c r="A211" s="98">
        <v>209</v>
      </c>
      <c r="B211" s="240">
        <v>0</v>
      </c>
      <c r="C211" s="102"/>
      <c r="D211" s="50"/>
      <c r="E211" s="147"/>
    </row>
    <row r="212" spans="1:5">
      <c r="A212" s="98">
        <v>210</v>
      </c>
      <c r="B212" s="240">
        <v>0</v>
      </c>
      <c r="C212" s="102"/>
      <c r="D212" s="50"/>
      <c r="E212" s="147"/>
    </row>
    <row r="213" spans="1:5">
      <c r="A213" s="98">
        <v>211</v>
      </c>
      <c r="B213" s="240">
        <v>0</v>
      </c>
      <c r="C213" s="102"/>
      <c r="D213" s="50"/>
      <c r="E213" s="147"/>
    </row>
    <row r="214" spans="1:5">
      <c r="A214" s="98">
        <v>212</v>
      </c>
      <c r="B214" s="240">
        <v>0</v>
      </c>
      <c r="C214" s="102"/>
      <c r="D214" s="50"/>
      <c r="E214" s="147"/>
    </row>
    <row r="215" spans="1:5">
      <c r="A215" s="98">
        <v>213</v>
      </c>
      <c r="B215" s="240">
        <v>0</v>
      </c>
      <c r="C215" s="102"/>
      <c r="D215" s="50"/>
      <c r="E215" s="147"/>
    </row>
    <row r="216" spans="1:5">
      <c r="A216" s="98">
        <v>214</v>
      </c>
      <c r="B216" s="240">
        <v>0</v>
      </c>
      <c r="C216" s="102"/>
      <c r="D216" s="50"/>
      <c r="E216" s="147"/>
    </row>
    <row r="217" spans="1:5">
      <c r="A217" s="98">
        <v>215</v>
      </c>
      <c r="B217" s="240">
        <v>0</v>
      </c>
      <c r="C217" s="102"/>
      <c r="D217" s="50"/>
      <c r="E217" s="147"/>
    </row>
    <row r="218" spans="1:5">
      <c r="A218" s="98">
        <v>216</v>
      </c>
      <c r="B218" s="240">
        <v>0</v>
      </c>
      <c r="C218" s="102"/>
      <c r="D218" s="50"/>
      <c r="E218" s="147"/>
    </row>
    <row r="219" spans="1:5">
      <c r="A219" s="98">
        <v>217</v>
      </c>
      <c r="B219" s="240">
        <v>0</v>
      </c>
      <c r="C219" s="102"/>
      <c r="D219" s="50"/>
      <c r="E219" s="147"/>
    </row>
    <row r="220" spans="1:5">
      <c r="A220" s="98">
        <v>218</v>
      </c>
      <c r="B220" s="240">
        <v>0</v>
      </c>
      <c r="C220" s="102"/>
      <c r="D220" s="50"/>
      <c r="E220" s="147"/>
    </row>
    <row r="221" spans="1:5">
      <c r="A221" s="98">
        <v>219</v>
      </c>
      <c r="B221" s="240">
        <v>0</v>
      </c>
      <c r="C221" s="102"/>
      <c r="D221" s="50"/>
      <c r="E221" s="147"/>
    </row>
    <row r="222" spans="1:5">
      <c r="A222" s="98">
        <v>220</v>
      </c>
      <c r="B222" s="240">
        <v>0</v>
      </c>
      <c r="C222" s="102"/>
      <c r="D222" s="50"/>
      <c r="E222" s="147"/>
    </row>
    <row r="223" spans="1:5">
      <c r="A223" s="98">
        <v>221</v>
      </c>
      <c r="B223" s="240">
        <v>0</v>
      </c>
      <c r="C223" s="102"/>
      <c r="D223" s="50"/>
      <c r="E223" s="147"/>
    </row>
    <row r="224" spans="1:5">
      <c r="A224" s="98">
        <v>222</v>
      </c>
      <c r="B224" s="240">
        <v>0</v>
      </c>
      <c r="C224" s="102"/>
      <c r="D224" s="50"/>
      <c r="E224" s="147"/>
    </row>
    <row r="225" spans="1:5">
      <c r="A225" s="98">
        <v>223</v>
      </c>
      <c r="B225" s="240">
        <v>0</v>
      </c>
      <c r="C225" s="102"/>
      <c r="D225" s="50"/>
      <c r="E225" s="147"/>
    </row>
    <row r="226" spans="1:5">
      <c r="A226" s="98">
        <v>224</v>
      </c>
      <c r="B226" s="240">
        <v>0</v>
      </c>
      <c r="C226" s="102"/>
      <c r="D226" s="50"/>
      <c r="E226" s="147"/>
    </row>
    <row r="227" spans="1:5">
      <c r="A227" s="98">
        <v>225</v>
      </c>
      <c r="B227" s="240">
        <v>0</v>
      </c>
      <c r="C227" s="102"/>
      <c r="D227" s="50"/>
      <c r="E227" s="147"/>
    </row>
    <row r="228" spans="1:5">
      <c r="A228" s="98">
        <v>226</v>
      </c>
      <c r="B228" s="240">
        <v>0</v>
      </c>
      <c r="C228" s="102"/>
      <c r="D228" s="50"/>
      <c r="E228" s="147"/>
    </row>
    <row r="229" spans="1:5">
      <c r="A229" s="98">
        <v>227</v>
      </c>
      <c r="B229" s="240">
        <v>0</v>
      </c>
      <c r="C229" s="102"/>
      <c r="D229" s="50"/>
      <c r="E229" s="147"/>
    </row>
    <row r="230" spans="1:5">
      <c r="A230" s="98">
        <v>228</v>
      </c>
      <c r="B230" s="240">
        <v>0</v>
      </c>
      <c r="C230" s="102"/>
      <c r="D230" s="50"/>
      <c r="E230" s="147"/>
    </row>
    <row r="231" spans="1:5">
      <c r="A231" s="98">
        <v>229</v>
      </c>
      <c r="B231" s="240">
        <v>0</v>
      </c>
      <c r="C231" s="102"/>
      <c r="D231" s="50"/>
      <c r="E231" s="147"/>
    </row>
    <row r="232" spans="1:5">
      <c r="A232" s="98">
        <v>230</v>
      </c>
      <c r="B232" s="240">
        <v>0</v>
      </c>
      <c r="C232" s="102"/>
      <c r="D232" s="50"/>
      <c r="E232" s="147"/>
    </row>
    <row r="233" spans="1:5">
      <c r="A233" s="98">
        <v>231</v>
      </c>
      <c r="B233" s="240">
        <v>0</v>
      </c>
      <c r="C233" s="102"/>
      <c r="D233" s="50"/>
      <c r="E233" s="147"/>
    </row>
    <row r="234" spans="1:5">
      <c r="A234" s="98">
        <v>232</v>
      </c>
      <c r="B234" s="240">
        <v>0</v>
      </c>
      <c r="C234" s="102"/>
      <c r="D234" s="50"/>
      <c r="E234" s="147"/>
    </row>
    <row r="235" spans="1:5">
      <c r="A235" s="98">
        <v>233</v>
      </c>
      <c r="B235" s="240">
        <v>0</v>
      </c>
      <c r="C235" s="102"/>
      <c r="D235" s="50"/>
      <c r="E235" s="147"/>
    </row>
    <row r="236" spans="1:5">
      <c r="A236" s="98">
        <v>234</v>
      </c>
      <c r="B236" s="240">
        <v>0</v>
      </c>
      <c r="C236" s="102"/>
      <c r="D236" s="50"/>
      <c r="E236" s="147"/>
    </row>
    <row r="237" spans="1:5">
      <c r="A237" s="98">
        <v>235</v>
      </c>
      <c r="B237" s="240">
        <v>0</v>
      </c>
      <c r="C237" s="102"/>
      <c r="D237" s="50"/>
      <c r="E237" s="147"/>
    </row>
    <row r="238" spans="1:5">
      <c r="A238" s="98">
        <v>236</v>
      </c>
      <c r="B238" s="240">
        <v>0</v>
      </c>
      <c r="C238" s="102"/>
      <c r="D238" s="50"/>
      <c r="E238" s="147"/>
    </row>
    <row r="239" spans="1:5">
      <c r="A239" s="98">
        <v>237</v>
      </c>
      <c r="B239" s="240">
        <v>0</v>
      </c>
      <c r="C239" s="102"/>
      <c r="D239" s="50"/>
      <c r="E239" s="147"/>
    </row>
    <row r="240" spans="1:5">
      <c r="A240" s="98">
        <v>238</v>
      </c>
      <c r="B240" s="240">
        <v>0</v>
      </c>
      <c r="C240" s="102"/>
      <c r="D240" s="50"/>
      <c r="E240" s="147"/>
    </row>
    <row r="241" spans="1:5">
      <c r="A241" s="98">
        <v>239</v>
      </c>
      <c r="B241" s="240">
        <v>0</v>
      </c>
      <c r="C241" s="102"/>
      <c r="D241" s="50"/>
      <c r="E241" s="147"/>
    </row>
    <row r="242" spans="1:5">
      <c r="A242" s="98">
        <v>240</v>
      </c>
      <c r="B242" s="240">
        <v>0</v>
      </c>
      <c r="C242" s="102"/>
      <c r="D242" s="50"/>
      <c r="E242" s="147"/>
    </row>
    <row r="243" spans="1:5">
      <c r="A243" s="98">
        <v>241</v>
      </c>
      <c r="B243" s="240">
        <v>0</v>
      </c>
      <c r="C243" s="102"/>
      <c r="D243" s="50"/>
      <c r="E243" s="147"/>
    </row>
    <row r="244" spans="1:5">
      <c r="A244" s="98">
        <v>242</v>
      </c>
      <c r="B244" s="240">
        <v>0</v>
      </c>
      <c r="C244" s="102"/>
      <c r="D244" s="50"/>
      <c r="E244" s="147"/>
    </row>
    <row r="245" spans="1:5">
      <c r="A245" s="98">
        <v>243</v>
      </c>
      <c r="B245" s="240">
        <v>0</v>
      </c>
      <c r="C245" s="102"/>
      <c r="D245" s="50"/>
      <c r="E245" s="147"/>
    </row>
    <row r="246" spans="1:5">
      <c r="A246" s="98">
        <v>244</v>
      </c>
      <c r="B246" s="240">
        <v>0</v>
      </c>
      <c r="C246" s="102"/>
      <c r="D246" s="50"/>
      <c r="E246" s="147"/>
    </row>
    <row r="247" spans="1:5">
      <c r="A247" s="98">
        <v>245</v>
      </c>
      <c r="B247" s="240">
        <v>0</v>
      </c>
      <c r="C247" s="102"/>
      <c r="D247" s="50"/>
      <c r="E247" s="147"/>
    </row>
    <row r="248" spans="1:5">
      <c r="A248" s="98">
        <v>246</v>
      </c>
      <c r="B248" s="240">
        <v>0</v>
      </c>
      <c r="C248" s="102"/>
      <c r="D248" s="50"/>
      <c r="E248" s="147"/>
    </row>
    <row r="249" spans="1:5">
      <c r="A249" s="98">
        <v>247</v>
      </c>
      <c r="B249" s="240">
        <v>0</v>
      </c>
      <c r="C249" s="102"/>
      <c r="D249" s="50"/>
      <c r="E249" s="147"/>
    </row>
    <row r="250" spans="1:5">
      <c r="A250" s="98">
        <v>248</v>
      </c>
      <c r="B250" s="240">
        <v>0</v>
      </c>
      <c r="C250" s="102"/>
      <c r="D250" s="50"/>
      <c r="E250" s="147"/>
    </row>
    <row r="251" spans="1:5">
      <c r="A251" s="98">
        <v>249</v>
      </c>
      <c r="B251" s="240">
        <v>0</v>
      </c>
      <c r="C251" s="102"/>
      <c r="D251" s="50"/>
      <c r="E251" s="147"/>
    </row>
    <row r="252" spans="1:5">
      <c r="A252" s="98">
        <v>250</v>
      </c>
      <c r="B252" s="240">
        <v>0</v>
      </c>
      <c r="C252" s="102"/>
      <c r="D252" s="50"/>
      <c r="E252" s="147"/>
    </row>
    <row r="253" spans="1:5">
      <c r="A253" s="98">
        <v>251</v>
      </c>
      <c r="B253" s="240">
        <v>0</v>
      </c>
      <c r="C253" s="102"/>
      <c r="D253" s="50"/>
      <c r="E253" s="147"/>
    </row>
    <row r="254" spans="1:5">
      <c r="A254" s="98">
        <v>252</v>
      </c>
      <c r="B254" s="240">
        <v>0</v>
      </c>
      <c r="C254" s="102"/>
      <c r="D254" s="50"/>
      <c r="E254" s="147"/>
    </row>
    <row r="255" spans="1:5">
      <c r="A255" s="98">
        <v>253</v>
      </c>
      <c r="B255" s="240">
        <v>0</v>
      </c>
      <c r="C255" s="102"/>
      <c r="D255" s="50"/>
      <c r="E255" s="147"/>
    </row>
    <row r="256" spans="1:5">
      <c r="A256" s="98">
        <v>254</v>
      </c>
      <c r="B256" s="240">
        <v>0</v>
      </c>
      <c r="C256" s="102"/>
      <c r="D256" s="50"/>
      <c r="E256" s="147"/>
    </row>
    <row r="257" spans="1:5">
      <c r="A257" s="98">
        <v>255</v>
      </c>
      <c r="B257" s="240">
        <v>0</v>
      </c>
      <c r="C257" s="102"/>
      <c r="D257" s="50"/>
      <c r="E257" s="147"/>
    </row>
    <row r="258" spans="1:5">
      <c r="A258" s="98">
        <v>256</v>
      </c>
      <c r="B258" s="240">
        <v>0</v>
      </c>
      <c r="C258" s="102"/>
      <c r="D258" s="50"/>
      <c r="E258" s="147"/>
    </row>
    <row r="259" spans="1:5">
      <c r="A259" s="98">
        <v>257</v>
      </c>
      <c r="B259" s="240">
        <v>0</v>
      </c>
      <c r="C259" s="102"/>
      <c r="D259" s="50"/>
      <c r="E259" s="147"/>
    </row>
    <row r="260" spans="1:5">
      <c r="A260" s="98">
        <v>258</v>
      </c>
      <c r="B260" s="240">
        <v>0</v>
      </c>
      <c r="C260" s="102"/>
      <c r="D260" s="50"/>
      <c r="E260" s="147"/>
    </row>
    <row r="261" spans="1:5">
      <c r="A261" s="98">
        <v>259</v>
      </c>
      <c r="B261" s="240">
        <v>0</v>
      </c>
      <c r="C261" s="102"/>
      <c r="D261" s="50"/>
      <c r="E261" s="147"/>
    </row>
    <row r="262" spans="1:5">
      <c r="A262" s="98">
        <v>260</v>
      </c>
      <c r="B262" s="240">
        <v>0</v>
      </c>
      <c r="C262" s="102"/>
      <c r="D262" s="50"/>
      <c r="E262" s="147"/>
    </row>
    <row r="263" spans="1:5">
      <c r="A263" s="98">
        <v>261</v>
      </c>
      <c r="B263" s="240">
        <v>0</v>
      </c>
      <c r="C263" s="102"/>
      <c r="D263" s="50"/>
      <c r="E263" s="147"/>
    </row>
    <row r="264" spans="1:5">
      <c r="A264" s="98">
        <v>262</v>
      </c>
      <c r="B264" s="240">
        <v>0</v>
      </c>
      <c r="C264" s="102"/>
      <c r="D264" s="50"/>
      <c r="E264" s="147"/>
    </row>
    <row r="265" spans="1:5">
      <c r="A265" s="98">
        <v>263</v>
      </c>
      <c r="B265" s="240">
        <v>0</v>
      </c>
      <c r="C265" s="102"/>
      <c r="D265" s="50"/>
      <c r="E265" s="147"/>
    </row>
    <row r="266" spans="1:5">
      <c r="A266" s="98">
        <v>264</v>
      </c>
      <c r="B266" s="240">
        <v>0</v>
      </c>
      <c r="C266" s="102"/>
      <c r="D266" s="50"/>
      <c r="E266" s="147"/>
    </row>
    <row r="267" spans="1:5">
      <c r="A267" s="98">
        <v>265</v>
      </c>
      <c r="B267" s="240">
        <v>0</v>
      </c>
      <c r="C267" s="102"/>
      <c r="D267" s="50"/>
      <c r="E267" s="147"/>
    </row>
    <row r="268" spans="1:5">
      <c r="A268" s="98">
        <v>266</v>
      </c>
      <c r="B268" s="240">
        <v>0</v>
      </c>
      <c r="C268" s="102"/>
      <c r="D268" s="50"/>
      <c r="E268" s="147"/>
    </row>
    <row r="269" spans="1:5">
      <c r="A269" s="98">
        <v>267</v>
      </c>
      <c r="B269" s="240">
        <v>0</v>
      </c>
      <c r="C269" s="102"/>
      <c r="D269" s="50"/>
      <c r="E269" s="147"/>
    </row>
    <row r="270" spans="1:5">
      <c r="A270" s="98">
        <v>268</v>
      </c>
      <c r="B270" s="240">
        <v>0</v>
      </c>
      <c r="C270" s="102"/>
      <c r="D270" s="50"/>
      <c r="E270" s="147"/>
    </row>
    <row r="271" spans="1:5">
      <c r="A271" s="98">
        <v>269</v>
      </c>
      <c r="B271" s="240">
        <v>0</v>
      </c>
      <c r="C271" s="102"/>
      <c r="D271" s="50"/>
      <c r="E271" s="147"/>
    </row>
    <row r="272" spans="1:5">
      <c r="A272" s="98">
        <v>270</v>
      </c>
      <c r="B272" s="240">
        <v>0</v>
      </c>
      <c r="C272" s="102"/>
      <c r="D272" s="50"/>
      <c r="E272" s="147"/>
    </row>
    <row r="273" spans="1:5">
      <c r="A273" s="98">
        <v>271</v>
      </c>
      <c r="B273" s="240">
        <v>0</v>
      </c>
      <c r="C273" s="102"/>
      <c r="D273" s="50"/>
      <c r="E273" s="147"/>
    </row>
    <row r="274" spans="1:5">
      <c r="A274" s="98">
        <v>272</v>
      </c>
      <c r="B274" s="240">
        <v>0</v>
      </c>
      <c r="C274" s="102"/>
      <c r="D274" s="50"/>
      <c r="E274" s="147"/>
    </row>
    <row r="275" spans="1:5">
      <c r="A275" s="98">
        <v>273</v>
      </c>
      <c r="B275" s="240">
        <v>0</v>
      </c>
      <c r="C275" s="102"/>
      <c r="D275" s="50"/>
      <c r="E275" s="147"/>
    </row>
    <row r="276" spans="1:5">
      <c r="A276" s="98">
        <v>274</v>
      </c>
      <c r="B276" s="240">
        <v>0</v>
      </c>
      <c r="C276" s="102"/>
      <c r="D276" s="50"/>
      <c r="E276" s="147"/>
    </row>
    <row r="277" spans="1:5">
      <c r="A277" s="98">
        <v>275</v>
      </c>
      <c r="B277" s="240">
        <v>0</v>
      </c>
      <c r="C277" s="102"/>
      <c r="D277" s="50"/>
      <c r="E277" s="147"/>
    </row>
    <row r="278" spans="1:5">
      <c r="A278" s="98">
        <v>276</v>
      </c>
      <c r="B278" s="240">
        <v>0</v>
      </c>
      <c r="C278" s="102"/>
      <c r="D278" s="50"/>
      <c r="E278" s="147"/>
    </row>
    <row r="279" spans="1:5">
      <c r="A279" s="98">
        <v>277</v>
      </c>
      <c r="B279" s="240">
        <v>0</v>
      </c>
      <c r="C279" s="102"/>
      <c r="D279" s="50"/>
      <c r="E279" s="147"/>
    </row>
    <row r="280" spans="1:5">
      <c r="A280" s="98">
        <v>278</v>
      </c>
      <c r="B280" s="240">
        <v>0</v>
      </c>
      <c r="C280" s="102"/>
      <c r="D280" s="50"/>
      <c r="E280" s="147"/>
    </row>
    <row r="281" spans="1:5">
      <c r="A281" s="98">
        <v>279</v>
      </c>
      <c r="B281" s="240">
        <v>0</v>
      </c>
      <c r="C281" s="102"/>
      <c r="D281" s="50"/>
      <c r="E281" s="147"/>
    </row>
    <row r="282" spans="1:5">
      <c r="A282" s="98">
        <v>280</v>
      </c>
      <c r="B282" s="240">
        <v>0</v>
      </c>
      <c r="C282" s="102"/>
      <c r="D282" s="50"/>
      <c r="E282" s="147"/>
    </row>
    <row r="283" spans="1:5">
      <c r="A283" s="98">
        <v>281</v>
      </c>
      <c r="B283" s="240">
        <v>0</v>
      </c>
      <c r="C283" s="102"/>
      <c r="D283" s="50"/>
      <c r="E283" s="147"/>
    </row>
    <row r="284" spans="1:5">
      <c r="A284" s="98">
        <v>282</v>
      </c>
      <c r="B284" s="240">
        <v>0</v>
      </c>
      <c r="C284" s="102"/>
      <c r="D284" s="50"/>
      <c r="E284" s="147"/>
    </row>
    <row r="285" spans="1:5">
      <c r="A285" s="98">
        <v>283</v>
      </c>
      <c r="B285" s="240">
        <v>0</v>
      </c>
      <c r="C285" s="102"/>
      <c r="D285" s="50"/>
      <c r="E285" s="147"/>
    </row>
    <row r="286" spans="1:5">
      <c r="A286" s="98">
        <v>284</v>
      </c>
      <c r="B286" s="240">
        <v>0</v>
      </c>
      <c r="C286" s="102"/>
      <c r="D286" s="50"/>
      <c r="E286" s="147"/>
    </row>
    <row r="287" spans="1:5">
      <c r="A287" s="98">
        <v>285</v>
      </c>
      <c r="B287" s="240">
        <v>0</v>
      </c>
      <c r="C287" s="102"/>
      <c r="D287" s="50"/>
      <c r="E287" s="147"/>
    </row>
    <row r="288" spans="1:5">
      <c r="A288" s="98">
        <v>286</v>
      </c>
      <c r="B288" s="240">
        <v>0</v>
      </c>
      <c r="C288" s="102"/>
      <c r="D288" s="50"/>
      <c r="E288" s="147"/>
    </row>
    <row r="289" spans="1:5">
      <c r="A289" s="98">
        <v>287</v>
      </c>
      <c r="B289" s="240">
        <v>0</v>
      </c>
      <c r="C289" s="102"/>
      <c r="D289" s="50"/>
      <c r="E289" s="147"/>
    </row>
    <row r="290" spans="1:5">
      <c r="A290" s="98">
        <v>288</v>
      </c>
      <c r="B290" s="240">
        <v>0</v>
      </c>
      <c r="C290" s="102"/>
      <c r="D290" s="50"/>
      <c r="E290" s="147"/>
    </row>
    <row r="291" spans="1:5">
      <c r="A291" s="98">
        <v>289</v>
      </c>
      <c r="B291" s="240">
        <v>0</v>
      </c>
      <c r="C291" s="102"/>
      <c r="D291" s="50"/>
      <c r="E291" s="147"/>
    </row>
    <row r="292" spans="1:5">
      <c r="A292" s="98">
        <v>290</v>
      </c>
      <c r="B292" s="240">
        <v>0</v>
      </c>
      <c r="C292" s="102"/>
      <c r="D292" s="50"/>
      <c r="E292" s="147"/>
    </row>
    <row r="293" spans="1:5">
      <c r="A293" s="98">
        <v>291</v>
      </c>
      <c r="B293" s="240">
        <v>0</v>
      </c>
      <c r="C293" s="102"/>
      <c r="D293" s="50"/>
      <c r="E293" s="147"/>
    </row>
    <row r="294" spans="1:5">
      <c r="A294" s="98">
        <v>292</v>
      </c>
      <c r="B294" s="240">
        <v>0</v>
      </c>
      <c r="C294" s="102"/>
      <c r="D294" s="50"/>
      <c r="E294" s="147"/>
    </row>
    <row r="295" spans="1:5">
      <c r="A295" s="98">
        <v>293</v>
      </c>
      <c r="B295" s="240">
        <v>0</v>
      </c>
      <c r="C295" s="102"/>
      <c r="D295" s="50"/>
      <c r="E295" s="147"/>
    </row>
    <row r="296" spans="1:5">
      <c r="A296" s="98">
        <v>294</v>
      </c>
      <c r="B296" s="240">
        <v>0</v>
      </c>
      <c r="C296" s="102"/>
      <c r="D296" s="50"/>
      <c r="E296" s="147"/>
    </row>
    <row r="297" spans="1:5">
      <c r="A297" s="98">
        <v>295</v>
      </c>
      <c r="B297" s="240">
        <v>0</v>
      </c>
      <c r="C297" s="102"/>
      <c r="D297" s="50"/>
      <c r="E297" s="147"/>
    </row>
    <row r="298" spans="1:5">
      <c r="A298" s="98">
        <v>296</v>
      </c>
      <c r="B298" s="240">
        <v>0</v>
      </c>
      <c r="C298" s="102"/>
      <c r="D298" s="50"/>
      <c r="E298" s="147"/>
    </row>
    <row r="299" spans="1:5">
      <c r="A299" s="98">
        <v>297</v>
      </c>
      <c r="B299" s="240">
        <v>0</v>
      </c>
      <c r="C299" s="102"/>
      <c r="D299" s="50"/>
      <c r="E299" s="147"/>
    </row>
    <row r="300" spans="1:5">
      <c r="A300" s="98">
        <v>298</v>
      </c>
      <c r="B300" s="240">
        <v>0</v>
      </c>
      <c r="C300" s="102"/>
      <c r="D300" s="50"/>
      <c r="E300" s="147"/>
    </row>
    <row r="301" spans="1:5">
      <c r="A301" s="98">
        <v>299</v>
      </c>
      <c r="B301" s="240">
        <v>0</v>
      </c>
      <c r="C301" s="102"/>
      <c r="D301" s="50"/>
      <c r="E301" s="147"/>
    </row>
    <row r="302" spans="1:5">
      <c r="A302" s="98">
        <v>300</v>
      </c>
      <c r="B302" s="240">
        <v>0</v>
      </c>
      <c r="C302" s="102"/>
      <c r="D302" s="50"/>
      <c r="E302" s="147"/>
    </row>
    <row r="303" spans="1:5">
      <c r="A303" s="98">
        <v>301</v>
      </c>
      <c r="B303" s="240">
        <v>0</v>
      </c>
      <c r="C303" s="102"/>
      <c r="D303" s="50"/>
      <c r="E303" s="147"/>
    </row>
    <row r="304" spans="1:5">
      <c r="A304" s="98">
        <v>302</v>
      </c>
      <c r="B304" s="240">
        <v>0</v>
      </c>
      <c r="C304" s="102"/>
      <c r="D304" s="50"/>
      <c r="E304" s="147"/>
    </row>
    <row r="305" spans="1:5">
      <c r="A305" s="98">
        <v>303</v>
      </c>
      <c r="B305" s="240">
        <v>0</v>
      </c>
      <c r="C305" s="102"/>
      <c r="D305" s="50"/>
      <c r="E305" s="147"/>
    </row>
    <row r="306" spans="1:5">
      <c r="A306" s="98">
        <v>304</v>
      </c>
      <c r="B306" s="240">
        <v>0</v>
      </c>
      <c r="C306" s="102"/>
      <c r="D306" s="50"/>
      <c r="E306" s="147"/>
    </row>
    <row r="307" spans="1:5">
      <c r="A307" s="98">
        <v>305</v>
      </c>
      <c r="B307" s="240">
        <v>0</v>
      </c>
      <c r="C307" s="102"/>
      <c r="D307" s="50"/>
      <c r="E307" s="147"/>
    </row>
    <row r="308" spans="1:5">
      <c r="A308" s="98">
        <v>306</v>
      </c>
      <c r="B308" s="240">
        <v>0</v>
      </c>
      <c r="C308" s="102"/>
      <c r="D308" s="50"/>
      <c r="E308" s="147"/>
    </row>
    <row r="309" spans="1:5">
      <c r="A309" s="98">
        <v>307</v>
      </c>
      <c r="B309" s="240">
        <v>0</v>
      </c>
      <c r="C309" s="102"/>
      <c r="D309" s="50"/>
      <c r="E309" s="147"/>
    </row>
    <row r="310" spans="1:5">
      <c r="A310" s="98">
        <v>308</v>
      </c>
      <c r="B310" s="240">
        <v>0</v>
      </c>
      <c r="C310" s="102"/>
      <c r="D310" s="50"/>
      <c r="E310" s="147"/>
    </row>
    <row r="311" spans="1:5">
      <c r="A311" s="98">
        <v>309</v>
      </c>
      <c r="B311" s="240">
        <v>0</v>
      </c>
      <c r="C311" s="102"/>
      <c r="D311" s="50"/>
      <c r="E311" s="147"/>
    </row>
    <row r="312" spans="1:5">
      <c r="A312" s="98">
        <v>310</v>
      </c>
      <c r="B312" s="240">
        <v>0</v>
      </c>
      <c r="C312" s="102"/>
      <c r="D312" s="50"/>
      <c r="E312" s="147"/>
    </row>
    <row r="313" spans="1:5">
      <c r="A313" s="98">
        <v>311</v>
      </c>
      <c r="B313" s="240">
        <v>0</v>
      </c>
      <c r="C313" s="102"/>
      <c r="D313" s="50"/>
      <c r="E313" s="147"/>
    </row>
    <row r="314" spans="1:5">
      <c r="A314" s="98">
        <v>312</v>
      </c>
      <c r="B314" s="240">
        <v>0</v>
      </c>
      <c r="C314" s="102"/>
      <c r="D314" s="50"/>
      <c r="E314" s="147"/>
    </row>
    <row r="315" spans="1:5">
      <c r="A315" s="98">
        <v>313</v>
      </c>
      <c r="B315" s="240">
        <v>0</v>
      </c>
      <c r="C315" s="102"/>
      <c r="D315" s="50"/>
      <c r="E315" s="147"/>
    </row>
    <row r="316" spans="1:5">
      <c r="A316" s="98">
        <v>314</v>
      </c>
      <c r="B316" s="240">
        <v>0</v>
      </c>
      <c r="C316" s="102"/>
      <c r="D316" s="50"/>
      <c r="E316" s="147"/>
    </row>
    <row r="317" spans="1:5">
      <c r="A317" s="98">
        <v>315</v>
      </c>
      <c r="B317" s="240">
        <v>0</v>
      </c>
      <c r="C317" s="102"/>
      <c r="D317" s="50"/>
      <c r="E317" s="147"/>
    </row>
    <row r="318" spans="1:5">
      <c r="A318" s="98">
        <v>316</v>
      </c>
      <c r="B318" s="240">
        <v>0</v>
      </c>
      <c r="C318" s="102"/>
      <c r="D318" s="50"/>
      <c r="E318" s="147"/>
    </row>
    <row r="319" spans="1:5">
      <c r="A319" s="98">
        <v>317</v>
      </c>
      <c r="B319" s="240">
        <v>0</v>
      </c>
      <c r="C319" s="102"/>
      <c r="D319" s="50"/>
      <c r="E319" s="147"/>
    </row>
    <row r="320" spans="1:5">
      <c r="A320" s="98">
        <v>318</v>
      </c>
      <c r="B320" s="240">
        <v>0</v>
      </c>
      <c r="C320" s="102"/>
      <c r="D320" s="50"/>
      <c r="E320" s="147"/>
    </row>
    <row r="321" spans="1:5">
      <c r="A321" s="98">
        <v>319</v>
      </c>
      <c r="B321" s="240">
        <v>0</v>
      </c>
      <c r="C321" s="102"/>
      <c r="D321" s="50"/>
      <c r="E321" s="147"/>
    </row>
    <row r="322" spans="1:5">
      <c r="A322" s="98">
        <v>320</v>
      </c>
      <c r="B322" s="240">
        <v>0</v>
      </c>
      <c r="C322" s="102"/>
      <c r="D322" s="50"/>
      <c r="E322" s="147"/>
    </row>
    <row r="323" spans="1:5">
      <c r="A323" s="98">
        <v>321</v>
      </c>
      <c r="B323" s="240">
        <v>0</v>
      </c>
      <c r="C323" s="102"/>
      <c r="D323" s="50"/>
      <c r="E323" s="147"/>
    </row>
    <row r="324" spans="1:5">
      <c r="A324" s="98">
        <v>322</v>
      </c>
      <c r="B324" s="240">
        <v>0</v>
      </c>
      <c r="C324" s="102"/>
      <c r="D324" s="50"/>
      <c r="E324" s="147"/>
    </row>
    <row r="325" spans="1:5">
      <c r="A325" s="98">
        <v>323</v>
      </c>
      <c r="B325" s="240">
        <v>0</v>
      </c>
      <c r="C325" s="102"/>
      <c r="D325" s="50"/>
      <c r="E325" s="147"/>
    </row>
    <row r="326" spans="1:5">
      <c r="A326" s="98">
        <v>324</v>
      </c>
      <c r="B326" s="240">
        <v>0</v>
      </c>
      <c r="C326" s="102"/>
      <c r="D326" s="50"/>
      <c r="E326" s="147"/>
    </row>
    <row r="327" spans="1:5">
      <c r="A327" s="98">
        <v>325</v>
      </c>
      <c r="B327" s="240">
        <v>0</v>
      </c>
      <c r="C327" s="102"/>
      <c r="D327" s="50"/>
      <c r="E327" s="147"/>
    </row>
    <row r="328" spans="1:5">
      <c r="A328" s="98">
        <v>326</v>
      </c>
      <c r="B328" s="240">
        <v>0</v>
      </c>
      <c r="C328" s="102"/>
      <c r="D328" s="50"/>
      <c r="E328" s="147"/>
    </row>
    <row r="329" spans="1:5">
      <c r="A329" s="98">
        <v>327</v>
      </c>
      <c r="B329" s="240">
        <v>0</v>
      </c>
      <c r="C329" s="102"/>
      <c r="D329" s="50"/>
      <c r="E329" s="147"/>
    </row>
    <row r="330" spans="1:5">
      <c r="A330" s="98">
        <v>328</v>
      </c>
      <c r="B330" s="240">
        <v>0</v>
      </c>
      <c r="C330" s="102"/>
      <c r="D330" s="50"/>
      <c r="E330" s="147"/>
    </row>
    <row r="331" spans="1:5">
      <c r="A331" s="98">
        <v>329</v>
      </c>
      <c r="B331" s="240">
        <v>0</v>
      </c>
      <c r="C331" s="102"/>
      <c r="D331" s="50"/>
      <c r="E331" s="147"/>
    </row>
    <row r="332" spans="1:5">
      <c r="A332" s="98">
        <v>330</v>
      </c>
      <c r="B332" s="240">
        <v>0</v>
      </c>
      <c r="C332" s="102"/>
      <c r="D332" s="50"/>
      <c r="E332" s="147"/>
    </row>
    <row r="333" spans="1:5">
      <c r="A333" s="98">
        <v>331</v>
      </c>
      <c r="B333" s="240">
        <v>0</v>
      </c>
      <c r="C333" s="102"/>
      <c r="D333" s="50"/>
      <c r="E333" s="147"/>
    </row>
    <row r="334" spans="1:5">
      <c r="A334" s="98">
        <v>332</v>
      </c>
      <c r="B334" s="240">
        <v>0</v>
      </c>
      <c r="C334" s="102"/>
      <c r="D334" s="50"/>
      <c r="E334" s="147"/>
    </row>
    <row r="335" spans="1:5">
      <c r="A335" s="98">
        <v>333</v>
      </c>
      <c r="B335" s="240">
        <v>0</v>
      </c>
      <c r="C335" s="102"/>
      <c r="D335" s="50"/>
      <c r="E335" s="147"/>
    </row>
    <row r="336" spans="1:5">
      <c r="A336" s="98">
        <v>334</v>
      </c>
      <c r="B336" s="240">
        <v>0</v>
      </c>
      <c r="C336" s="102"/>
      <c r="D336" s="50"/>
      <c r="E336" s="147"/>
    </row>
    <row r="337" spans="1:5">
      <c r="A337" s="98">
        <v>335</v>
      </c>
      <c r="B337" s="240">
        <v>0</v>
      </c>
      <c r="C337" s="102"/>
      <c r="D337" s="50"/>
      <c r="E337" s="147"/>
    </row>
    <row r="338" spans="1:5">
      <c r="A338" s="98">
        <v>336</v>
      </c>
      <c r="B338" s="240">
        <v>0</v>
      </c>
      <c r="C338" s="102"/>
      <c r="D338" s="50"/>
      <c r="E338" s="147"/>
    </row>
    <row r="339" spans="1:5">
      <c r="A339" s="98">
        <v>337</v>
      </c>
      <c r="B339" s="240">
        <v>0</v>
      </c>
      <c r="C339" s="102"/>
      <c r="D339" s="50"/>
      <c r="E339" s="147"/>
    </row>
    <row r="340" spans="1:5">
      <c r="A340" s="98">
        <v>338</v>
      </c>
      <c r="B340" s="240">
        <v>0</v>
      </c>
      <c r="C340" s="102"/>
      <c r="D340" s="50"/>
      <c r="E340" s="147"/>
    </row>
    <row r="341" spans="1:5">
      <c r="A341" s="98">
        <v>339</v>
      </c>
      <c r="B341" s="240">
        <v>0</v>
      </c>
      <c r="C341" s="102"/>
      <c r="D341" s="50"/>
      <c r="E341" s="147"/>
    </row>
    <row r="342" spans="1:5">
      <c r="A342" s="98">
        <v>340</v>
      </c>
      <c r="B342" s="240">
        <v>0</v>
      </c>
      <c r="C342" s="102"/>
      <c r="D342" s="50"/>
      <c r="E342" s="147"/>
    </row>
    <row r="343" spans="1:5">
      <c r="A343" s="98">
        <v>341</v>
      </c>
      <c r="B343" s="240">
        <v>0</v>
      </c>
      <c r="C343" s="102"/>
      <c r="D343" s="50"/>
      <c r="E343" s="147"/>
    </row>
    <row r="344" spans="1:5">
      <c r="A344" s="98">
        <v>342</v>
      </c>
      <c r="B344" s="240">
        <v>0</v>
      </c>
      <c r="C344" s="102"/>
      <c r="D344" s="50"/>
      <c r="E344" s="147"/>
    </row>
    <row r="345" spans="1:5">
      <c r="A345" s="98">
        <v>343</v>
      </c>
      <c r="B345" s="240">
        <v>0</v>
      </c>
      <c r="C345" s="102"/>
      <c r="D345" s="50"/>
      <c r="E345" s="147"/>
    </row>
    <row r="346" spans="1:5">
      <c r="A346" s="98">
        <v>344</v>
      </c>
      <c r="B346" s="240">
        <v>0</v>
      </c>
      <c r="C346" s="102"/>
      <c r="D346" s="50"/>
      <c r="E346" s="147"/>
    </row>
    <row r="347" spans="1:5">
      <c r="A347" s="98">
        <v>345</v>
      </c>
      <c r="B347" s="240">
        <v>0</v>
      </c>
      <c r="C347" s="102"/>
      <c r="D347" s="50"/>
      <c r="E347" s="147"/>
    </row>
    <row r="348" spans="1:5">
      <c r="A348" s="98">
        <v>346</v>
      </c>
      <c r="B348" s="240">
        <v>0</v>
      </c>
      <c r="C348" s="102"/>
      <c r="D348" s="50"/>
      <c r="E348" s="147"/>
    </row>
    <row r="349" spans="1:5">
      <c r="A349" s="98">
        <v>347</v>
      </c>
      <c r="B349" s="240">
        <v>0</v>
      </c>
      <c r="C349" s="102"/>
      <c r="D349" s="50"/>
      <c r="E349" s="147"/>
    </row>
    <row r="350" spans="1:5">
      <c r="A350" s="98">
        <v>348</v>
      </c>
      <c r="B350" s="240">
        <v>0</v>
      </c>
      <c r="C350" s="102"/>
      <c r="D350" s="50"/>
      <c r="E350" s="147"/>
    </row>
    <row r="351" spans="1:5">
      <c r="A351" s="98">
        <v>349</v>
      </c>
      <c r="B351" s="240">
        <v>0</v>
      </c>
      <c r="C351" s="102"/>
      <c r="D351" s="50"/>
      <c r="E351" s="147"/>
    </row>
    <row r="352" spans="1:5">
      <c r="A352" s="98">
        <v>350</v>
      </c>
      <c r="B352" s="240">
        <v>0</v>
      </c>
      <c r="C352" s="102"/>
      <c r="D352" s="50"/>
      <c r="E352" s="147"/>
    </row>
    <row r="353" spans="1:5">
      <c r="A353" s="98">
        <v>351</v>
      </c>
      <c r="B353" s="240">
        <v>0</v>
      </c>
      <c r="C353" s="102"/>
      <c r="D353" s="50"/>
      <c r="E353" s="147"/>
    </row>
    <row r="354" spans="1:5">
      <c r="A354" s="98">
        <v>352</v>
      </c>
      <c r="B354" s="240">
        <v>0</v>
      </c>
      <c r="C354" s="102"/>
      <c r="D354" s="50"/>
      <c r="E354" s="147"/>
    </row>
    <row r="355" spans="1:5">
      <c r="A355" s="98">
        <v>353</v>
      </c>
      <c r="B355" s="240">
        <v>0</v>
      </c>
      <c r="C355" s="102"/>
      <c r="D355" s="50"/>
      <c r="E355" s="147"/>
    </row>
    <row r="356" spans="1:5">
      <c r="A356" s="98">
        <v>354</v>
      </c>
      <c r="B356" s="240">
        <v>0</v>
      </c>
      <c r="C356" s="102"/>
      <c r="D356" s="50"/>
      <c r="E356" s="147"/>
    </row>
    <row r="357" spans="1:5">
      <c r="A357" s="98">
        <v>355</v>
      </c>
      <c r="B357" s="240">
        <v>0</v>
      </c>
      <c r="C357" s="102"/>
      <c r="D357" s="50"/>
      <c r="E357" s="147"/>
    </row>
    <row r="358" spans="1:5">
      <c r="A358" s="98">
        <v>356</v>
      </c>
      <c r="B358" s="240">
        <v>0</v>
      </c>
      <c r="C358" s="102"/>
      <c r="D358" s="50"/>
      <c r="E358" s="147"/>
    </row>
    <row r="359" spans="1:5">
      <c r="A359" s="98">
        <v>357</v>
      </c>
      <c r="B359" s="240">
        <v>0</v>
      </c>
      <c r="C359" s="102"/>
      <c r="D359" s="50"/>
      <c r="E359" s="147"/>
    </row>
    <row r="360" spans="1:5">
      <c r="A360" s="98">
        <v>358</v>
      </c>
      <c r="B360" s="240">
        <v>0</v>
      </c>
      <c r="C360" s="102"/>
      <c r="D360" s="50"/>
      <c r="E360" s="147"/>
    </row>
    <row r="361" spans="1:5">
      <c r="A361" s="98">
        <v>359</v>
      </c>
      <c r="B361" s="240">
        <v>0</v>
      </c>
      <c r="C361" s="102"/>
      <c r="D361" s="50"/>
      <c r="E361" s="147"/>
    </row>
    <row r="362" spans="1:5">
      <c r="A362" s="98">
        <v>360</v>
      </c>
      <c r="B362" s="240">
        <v>0</v>
      </c>
      <c r="C362" s="102"/>
      <c r="D362" s="50"/>
      <c r="E362" s="147"/>
    </row>
    <row r="363" spans="1:5">
      <c r="A363" s="98">
        <v>361</v>
      </c>
      <c r="B363" s="240">
        <v>0</v>
      </c>
      <c r="C363" s="102"/>
      <c r="D363" s="50"/>
      <c r="E363" s="147"/>
    </row>
    <row r="364" spans="1:5">
      <c r="A364" s="98">
        <v>362</v>
      </c>
      <c r="B364" s="240">
        <v>0</v>
      </c>
      <c r="C364" s="102"/>
      <c r="D364" s="50"/>
      <c r="E364" s="147"/>
    </row>
    <row r="365" spans="1:5">
      <c r="A365" s="98">
        <v>363</v>
      </c>
      <c r="B365" s="240">
        <v>0</v>
      </c>
      <c r="C365" s="102"/>
      <c r="D365" s="50"/>
      <c r="E365" s="147"/>
    </row>
    <row r="366" spans="1:5">
      <c r="A366" s="98">
        <v>364</v>
      </c>
      <c r="B366" s="240">
        <v>0</v>
      </c>
      <c r="C366" s="102"/>
      <c r="D366" s="50"/>
      <c r="E366" s="147"/>
    </row>
    <row r="367" spans="1:5">
      <c r="A367" s="98">
        <v>365</v>
      </c>
      <c r="B367" s="240">
        <v>0</v>
      </c>
      <c r="C367" s="102"/>
      <c r="D367" s="50"/>
      <c r="E367" s="147"/>
    </row>
    <row r="368" spans="1:5">
      <c r="A368" s="98">
        <v>366</v>
      </c>
      <c r="B368" s="240">
        <v>0</v>
      </c>
      <c r="C368" s="102"/>
      <c r="D368" s="50"/>
      <c r="E368" s="147"/>
    </row>
    <row r="369" spans="1:5">
      <c r="A369" s="98">
        <v>367</v>
      </c>
      <c r="B369" s="240">
        <v>0</v>
      </c>
      <c r="C369" s="102"/>
      <c r="D369" s="50"/>
      <c r="E369" s="147"/>
    </row>
    <row r="370" spans="1:5">
      <c r="A370" s="98">
        <v>368</v>
      </c>
      <c r="B370" s="240">
        <v>0</v>
      </c>
      <c r="C370" s="102"/>
      <c r="D370" s="50"/>
      <c r="E370" s="147"/>
    </row>
    <row r="371" spans="1:5">
      <c r="A371" s="98">
        <v>369</v>
      </c>
      <c r="B371" s="240">
        <v>0</v>
      </c>
      <c r="C371" s="102"/>
      <c r="D371" s="50"/>
      <c r="E371" s="147"/>
    </row>
    <row r="372" spans="1:5">
      <c r="A372" s="98">
        <v>370</v>
      </c>
      <c r="B372" s="240">
        <v>0</v>
      </c>
      <c r="C372" s="102"/>
      <c r="D372" s="50"/>
      <c r="E372" s="147"/>
    </row>
    <row r="373" spans="1:5">
      <c r="A373" s="98">
        <v>371</v>
      </c>
      <c r="B373" s="240">
        <v>0</v>
      </c>
      <c r="C373" s="102"/>
      <c r="D373" s="50"/>
      <c r="E373" s="147"/>
    </row>
    <row r="374" spans="1:5">
      <c r="A374" s="98">
        <v>372</v>
      </c>
      <c r="B374" s="240">
        <v>0</v>
      </c>
      <c r="C374" s="102"/>
      <c r="D374" s="50"/>
      <c r="E374" s="147"/>
    </row>
    <row r="375" spans="1:5">
      <c r="A375" s="98">
        <v>373</v>
      </c>
      <c r="B375" s="240">
        <v>0</v>
      </c>
      <c r="C375" s="102"/>
      <c r="D375" s="50"/>
      <c r="E375" s="147"/>
    </row>
    <row r="376" spans="1:5">
      <c r="A376" s="98">
        <v>374</v>
      </c>
      <c r="B376" s="240">
        <v>0</v>
      </c>
      <c r="C376" s="102"/>
      <c r="D376" s="50"/>
      <c r="E376" s="147"/>
    </row>
    <row r="377" spans="1:5">
      <c r="A377" s="98">
        <v>375</v>
      </c>
      <c r="B377" s="240">
        <v>0</v>
      </c>
      <c r="C377" s="102"/>
      <c r="D377" s="50"/>
      <c r="E377" s="147"/>
    </row>
    <row r="378" spans="1:5">
      <c r="A378" s="98">
        <v>376</v>
      </c>
      <c r="B378" s="240">
        <v>0</v>
      </c>
      <c r="C378" s="102"/>
      <c r="D378" s="50"/>
      <c r="E378" s="147"/>
    </row>
    <row r="379" spans="1:5">
      <c r="A379" s="98">
        <v>377</v>
      </c>
      <c r="B379" s="240">
        <v>0</v>
      </c>
      <c r="C379" s="102"/>
      <c r="D379" s="50"/>
      <c r="E379" s="147"/>
    </row>
    <row r="380" spans="1:5">
      <c r="A380" s="98">
        <v>378</v>
      </c>
      <c r="B380" s="240">
        <v>0</v>
      </c>
      <c r="C380" s="102"/>
      <c r="D380" s="50"/>
      <c r="E380" s="147"/>
    </row>
    <row r="381" spans="1:5">
      <c r="A381" s="98">
        <v>379</v>
      </c>
      <c r="B381" s="240">
        <v>0</v>
      </c>
      <c r="C381" s="102"/>
      <c r="D381" s="50"/>
      <c r="E381" s="147"/>
    </row>
    <row r="382" spans="1:5">
      <c r="A382" s="98">
        <v>380</v>
      </c>
      <c r="B382" s="240">
        <v>0</v>
      </c>
      <c r="C382" s="102"/>
      <c r="D382" s="50"/>
      <c r="E382" s="147"/>
    </row>
    <row r="383" spans="1:5">
      <c r="A383" s="98">
        <v>381</v>
      </c>
      <c r="B383" s="240">
        <v>0</v>
      </c>
      <c r="C383" s="102"/>
      <c r="D383" s="50"/>
      <c r="E383" s="147"/>
    </row>
    <row r="384" spans="1:5">
      <c r="A384" s="98">
        <v>382</v>
      </c>
      <c r="B384" s="240">
        <v>0</v>
      </c>
      <c r="C384" s="102"/>
      <c r="D384" s="50"/>
      <c r="E384" s="147"/>
    </row>
    <row r="385" spans="1:5">
      <c r="A385" s="98">
        <v>383</v>
      </c>
      <c r="B385" s="240">
        <v>0</v>
      </c>
      <c r="C385" s="102"/>
      <c r="D385" s="50"/>
      <c r="E385" s="147"/>
    </row>
    <row r="386" spans="1:5">
      <c r="A386" s="98">
        <v>384</v>
      </c>
      <c r="B386" s="240">
        <v>0</v>
      </c>
      <c r="C386" s="102"/>
      <c r="D386" s="50"/>
      <c r="E386" s="147"/>
    </row>
    <row r="387" spans="1:5">
      <c r="A387" s="98">
        <v>385</v>
      </c>
      <c r="B387" s="240">
        <v>0</v>
      </c>
      <c r="C387" s="102"/>
      <c r="D387" s="50"/>
      <c r="E387" s="147"/>
    </row>
    <row r="388" spans="1:5">
      <c r="A388" s="98">
        <v>386</v>
      </c>
      <c r="B388" s="240">
        <v>0</v>
      </c>
      <c r="C388" s="102"/>
      <c r="D388" s="50"/>
      <c r="E388" s="147"/>
    </row>
    <row r="389" spans="1:5">
      <c r="A389" s="98">
        <v>387</v>
      </c>
      <c r="B389" s="240">
        <v>0</v>
      </c>
      <c r="C389" s="102"/>
      <c r="D389" s="50"/>
      <c r="E389" s="147"/>
    </row>
    <row r="390" spans="1:5">
      <c r="A390" s="98">
        <v>388</v>
      </c>
      <c r="B390" s="240">
        <v>0</v>
      </c>
      <c r="C390" s="102"/>
      <c r="D390" s="50"/>
      <c r="E390" s="147"/>
    </row>
    <row r="391" spans="1:5">
      <c r="A391" s="98">
        <v>389</v>
      </c>
      <c r="B391" s="240">
        <v>0</v>
      </c>
      <c r="C391" s="102"/>
      <c r="D391" s="50"/>
      <c r="E391" s="147"/>
    </row>
    <row r="392" spans="1:5">
      <c r="A392" s="98">
        <v>390</v>
      </c>
      <c r="B392" s="240">
        <v>0</v>
      </c>
      <c r="C392" s="102"/>
      <c r="D392" s="50"/>
      <c r="E392" s="147"/>
    </row>
    <row r="393" spans="1:5">
      <c r="A393" s="98">
        <v>391</v>
      </c>
      <c r="B393" s="240">
        <v>0</v>
      </c>
      <c r="C393" s="102"/>
      <c r="D393" s="50"/>
      <c r="E393" s="147"/>
    </row>
    <row r="394" spans="1:5">
      <c r="A394" s="98">
        <v>392</v>
      </c>
      <c r="B394" s="240">
        <v>0</v>
      </c>
      <c r="C394" s="102"/>
      <c r="D394" s="50"/>
      <c r="E394" s="147"/>
    </row>
    <row r="395" spans="1:5">
      <c r="A395" s="98">
        <v>393</v>
      </c>
      <c r="B395" s="240">
        <v>0</v>
      </c>
      <c r="C395" s="102"/>
      <c r="D395" s="50"/>
      <c r="E395" s="147"/>
    </row>
    <row r="396" spans="1:5">
      <c r="A396" s="98">
        <v>394</v>
      </c>
      <c r="B396" s="240">
        <v>0</v>
      </c>
      <c r="C396" s="102"/>
      <c r="D396" s="50"/>
      <c r="E396" s="147"/>
    </row>
    <row r="397" spans="1:5">
      <c r="A397" s="98">
        <v>395</v>
      </c>
      <c r="B397" s="240">
        <v>0</v>
      </c>
      <c r="C397" s="102"/>
      <c r="D397" s="50"/>
      <c r="E397" s="147"/>
    </row>
    <row r="398" spans="1:5">
      <c r="A398" s="98">
        <v>396</v>
      </c>
      <c r="B398" s="240">
        <v>0</v>
      </c>
      <c r="C398" s="102"/>
      <c r="D398" s="50"/>
      <c r="E398" s="147"/>
    </row>
    <row r="399" spans="1:5">
      <c r="A399" s="98">
        <v>397</v>
      </c>
      <c r="B399" s="240">
        <v>0</v>
      </c>
      <c r="C399" s="102"/>
      <c r="D399" s="50"/>
      <c r="E399" s="147"/>
    </row>
    <row r="400" spans="1:5">
      <c r="A400" s="98">
        <v>398</v>
      </c>
      <c r="B400" s="240">
        <v>0</v>
      </c>
      <c r="C400" s="102"/>
      <c r="D400" s="50"/>
      <c r="E400" s="147"/>
    </row>
    <row r="401" spans="1:5">
      <c r="A401" s="98">
        <v>399</v>
      </c>
      <c r="B401" s="240">
        <v>0</v>
      </c>
      <c r="C401" s="102"/>
      <c r="D401" s="50"/>
      <c r="E401" s="147"/>
    </row>
    <row r="402" spans="1:5">
      <c r="A402" s="98">
        <v>400</v>
      </c>
      <c r="B402" s="240">
        <v>0</v>
      </c>
      <c r="C402" s="102"/>
      <c r="D402" s="50"/>
      <c r="E402" s="147"/>
    </row>
    <row r="403" spans="1:5">
      <c r="A403" s="98">
        <v>401</v>
      </c>
      <c r="B403" s="240">
        <v>0</v>
      </c>
      <c r="C403" s="102"/>
      <c r="D403" s="50"/>
      <c r="E403" s="147"/>
    </row>
    <row r="404" spans="1:5">
      <c r="A404" s="98">
        <v>402</v>
      </c>
      <c r="B404" s="240">
        <v>0</v>
      </c>
      <c r="C404" s="102"/>
      <c r="D404" s="50"/>
      <c r="E404" s="147"/>
    </row>
    <row r="405" spans="1:5">
      <c r="A405" s="98">
        <v>403</v>
      </c>
      <c r="B405" s="240">
        <v>0</v>
      </c>
      <c r="C405" s="102"/>
      <c r="D405" s="50"/>
      <c r="E405" s="147"/>
    </row>
    <row r="406" spans="1:5">
      <c r="A406" s="98">
        <v>404</v>
      </c>
      <c r="B406" s="240">
        <v>0</v>
      </c>
      <c r="C406" s="102"/>
      <c r="D406" s="50"/>
      <c r="E406" s="147"/>
    </row>
    <row r="407" spans="1:5">
      <c r="A407" s="98">
        <v>405</v>
      </c>
      <c r="B407" s="240">
        <v>0</v>
      </c>
      <c r="C407" s="102"/>
      <c r="D407" s="50"/>
      <c r="E407" s="147"/>
    </row>
    <row r="408" spans="1:5">
      <c r="A408" s="98">
        <v>406</v>
      </c>
      <c r="B408" s="240">
        <v>0</v>
      </c>
      <c r="C408" s="102"/>
      <c r="D408" s="50"/>
      <c r="E408" s="147"/>
    </row>
    <row r="409" spans="1:5">
      <c r="A409" s="98">
        <v>407</v>
      </c>
      <c r="B409" s="240">
        <v>0</v>
      </c>
      <c r="C409" s="102"/>
      <c r="D409" s="50"/>
      <c r="E409" s="147"/>
    </row>
    <row r="410" spans="1:5">
      <c r="A410" s="98">
        <v>408</v>
      </c>
      <c r="B410" s="240">
        <v>0</v>
      </c>
      <c r="C410" s="102"/>
      <c r="D410" s="50"/>
      <c r="E410" s="147"/>
    </row>
    <row r="411" spans="1:5">
      <c r="A411" s="98">
        <v>409</v>
      </c>
      <c r="B411" s="240">
        <v>0</v>
      </c>
      <c r="C411" s="102"/>
      <c r="D411" s="50"/>
      <c r="E411" s="147"/>
    </row>
    <row r="412" spans="1:5">
      <c r="A412" s="98">
        <v>410</v>
      </c>
      <c r="B412" s="240">
        <v>0</v>
      </c>
      <c r="C412" s="102"/>
      <c r="D412" s="50"/>
      <c r="E412" s="147"/>
    </row>
    <row r="413" spans="1:5">
      <c r="A413" s="98">
        <v>411</v>
      </c>
      <c r="B413" s="240">
        <v>0</v>
      </c>
      <c r="C413" s="102"/>
      <c r="D413" s="50"/>
      <c r="E413" s="147"/>
    </row>
    <row r="414" spans="1:5">
      <c r="A414" s="98">
        <v>412</v>
      </c>
      <c r="B414" s="240">
        <v>0</v>
      </c>
      <c r="C414" s="102"/>
      <c r="D414" s="50"/>
      <c r="E414" s="147"/>
    </row>
    <row r="415" spans="1:5">
      <c r="A415" s="98">
        <v>413</v>
      </c>
      <c r="B415" s="240">
        <v>0</v>
      </c>
      <c r="C415" s="102"/>
      <c r="D415" s="50"/>
      <c r="E415" s="147"/>
    </row>
    <row r="416" spans="1:5">
      <c r="A416" s="98">
        <v>414</v>
      </c>
      <c r="B416" s="240">
        <v>0</v>
      </c>
      <c r="C416" s="102"/>
      <c r="D416" s="50"/>
      <c r="E416" s="147"/>
    </row>
    <row r="417" spans="1:5">
      <c r="A417" s="98">
        <v>415</v>
      </c>
      <c r="B417" s="240">
        <v>0</v>
      </c>
      <c r="C417" s="102"/>
      <c r="D417" s="50"/>
      <c r="E417" s="147"/>
    </row>
    <row r="418" spans="1:5">
      <c r="A418" s="98">
        <v>416</v>
      </c>
      <c r="B418" s="240">
        <v>0</v>
      </c>
      <c r="C418" s="102"/>
      <c r="D418" s="50"/>
      <c r="E418" s="147"/>
    </row>
    <row r="419" spans="1:5">
      <c r="A419" s="98">
        <v>417</v>
      </c>
      <c r="B419" s="240">
        <v>0</v>
      </c>
      <c r="C419" s="102"/>
      <c r="D419" s="50"/>
      <c r="E419" s="147"/>
    </row>
    <row r="420" spans="1:5">
      <c r="A420" s="98">
        <v>418</v>
      </c>
      <c r="B420" s="240">
        <v>0</v>
      </c>
      <c r="C420" s="102"/>
      <c r="D420" s="50"/>
      <c r="E420" s="147"/>
    </row>
    <row r="421" spans="1:5">
      <c r="A421" s="98">
        <v>419</v>
      </c>
      <c r="B421" s="240">
        <v>0</v>
      </c>
      <c r="C421" s="102"/>
      <c r="D421" s="50"/>
      <c r="E421" s="147"/>
    </row>
    <row r="422" spans="1:5">
      <c r="A422" s="98">
        <v>420</v>
      </c>
      <c r="B422" s="240">
        <v>0</v>
      </c>
      <c r="C422" s="102"/>
      <c r="D422" s="50"/>
      <c r="E422" s="147"/>
    </row>
    <row r="423" spans="1:5">
      <c r="A423" s="98">
        <v>421</v>
      </c>
      <c r="B423" s="240">
        <v>0</v>
      </c>
      <c r="C423" s="102"/>
      <c r="D423" s="50"/>
      <c r="E423" s="147"/>
    </row>
    <row r="424" spans="1:5">
      <c r="A424" s="98">
        <v>422</v>
      </c>
      <c r="B424" s="240">
        <v>0</v>
      </c>
      <c r="C424" s="102"/>
      <c r="D424" s="50"/>
      <c r="E424" s="147"/>
    </row>
    <row r="425" spans="1:5">
      <c r="A425" s="98">
        <v>423</v>
      </c>
      <c r="B425" s="240">
        <v>0</v>
      </c>
      <c r="C425" s="102"/>
      <c r="D425" s="50"/>
      <c r="E425" s="147"/>
    </row>
    <row r="426" spans="1:5">
      <c r="A426" s="98">
        <v>424</v>
      </c>
      <c r="B426" s="240">
        <v>0</v>
      </c>
      <c r="C426" s="102"/>
      <c r="D426" s="50"/>
      <c r="E426" s="147"/>
    </row>
    <row r="427" spans="1:5">
      <c r="A427" s="98">
        <v>425</v>
      </c>
      <c r="B427" s="240">
        <v>0</v>
      </c>
      <c r="C427" s="102"/>
      <c r="D427" s="50"/>
      <c r="E427" s="147"/>
    </row>
    <row r="428" spans="1:5">
      <c r="A428" s="98">
        <v>426</v>
      </c>
      <c r="B428" s="240">
        <v>0</v>
      </c>
      <c r="C428" s="102"/>
      <c r="D428" s="50"/>
      <c r="E428" s="147"/>
    </row>
    <row r="429" spans="1:5">
      <c r="A429" s="98">
        <v>427</v>
      </c>
      <c r="B429" s="240">
        <v>0</v>
      </c>
      <c r="C429" s="102"/>
      <c r="D429" s="50"/>
      <c r="E429" s="147"/>
    </row>
    <row r="430" spans="1:5">
      <c r="A430" s="98">
        <v>428</v>
      </c>
      <c r="B430" s="240">
        <v>0</v>
      </c>
      <c r="C430" s="102"/>
      <c r="D430" s="50"/>
      <c r="E430" s="147"/>
    </row>
    <row r="431" spans="1:5">
      <c r="A431" s="98">
        <v>429</v>
      </c>
      <c r="B431" s="240">
        <v>0</v>
      </c>
      <c r="C431" s="102"/>
      <c r="D431" s="50"/>
      <c r="E431" s="147"/>
    </row>
    <row r="432" spans="1:5">
      <c r="A432" s="98">
        <v>430</v>
      </c>
      <c r="B432" s="240">
        <v>0</v>
      </c>
      <c r="C432" s="102"/>
      <c r="D432" s="50"/>
      <c r="E432" s="147"/>
    </row>
    <row r="433" spans="1:5">
      <c r="A433" s="98">
        <v>431</v>
      </c>
      <c r="B433" s="240">
        <v>0</v>
      </c>
      <c r="C433" s="102"/>
      <c r="D433" s="50"/>
      <c r="E433" s="147"/>
    </row>
    <row r="434" spans="1:5">
      <c r="A434" s="98">
        <v>432</v>
      </c>
      <c r="B434" s="240">
        <v>0</v>
      </c>
      <c r="C434" s="102"/>
      <c r="D434" s="50"/>
      <c r="E434" s="147"/>
    </row>
    <row r="435" spans="1:5">
      <c r="A435" s="98">
        <v>433</v>
      </c>
      <c r="B435" s="240">
        <v>0</v>
      </c>
      <c r="C435" s="102"/>
      <c r="D435" s="50"/>
      <c r="E435" s="147"/>
    </row>
    <row r="436" spans="1:5">
      <c r="A436" s="98">
        <v>434</v>
      </c>
      <c r="B436" s="240">
        <v>0</v>
      </c>
      <c r="C436" s="102"/>
      <c r="D436" s="50"/>
      <c r="E436" s="147"/>
    </row>
    <row r="437" spans="1:5">
      <c r="A437" s="98">
        <v>435</v>
      </c>
      <c r="B437" s="240">
        <v>0</v>
      </c>
      <c r="C437" s="102"/>
      <c r="D437" s="50"/>
      <c r="E437" s="147"/>
    </row>
    <row r="438" spans="1:5">
      <c r="A438" s="98">
        <v>436</v>
      </c>
      <c r="B438" s="240">
        <v>0</v>
      </c>
      <c r="C438" s="102"/>
      <c r="D438" s="50"/>
      <c r="E438" s="147"/>
    </row>
    <row r="439" spans="1:5">
      <c r="A439" s="98">
        <v>437</v>
      </c>
      <c r="B439" s="240">
        <v>0</v>
      </c>
      <c r="C439" s="102"/>
      <c r="D439" s="50"/>
      <c r="E439" s="147"/>
    </row>
    <row r="440" spans="1:5">
      <c r="A440" s="98">
        <v>438</v>
      </c>
      <c r="B440" s="240">
        <v>0</v>
      </c>
      <c r="C440" s="102"/>
      <c r="D440" s="50"/>
      <c r="E440" s="147"/>
    </row>
    <row r="441" spans="1:5">
      <c r="A441" s="98">
        <v>439</v>
      </c>
      <c r="B441" s="240">
        <v>0</v>
      </c>
      <c r="C441" s="102"/>
      <c r="D441" s="50"/>
      <c r="E441" s="147"/>
    </row>
    <row r="442" spans="1:5">
      <c r="A442" s="98">
        <v>440</v>
      </c>
      <c r="B442" s="240">
        <v>0</v>
      </c>
      <c r="C442" s="102"/>
      <c r="D442" s="50"/>
      <c r="E442" s="147"/>
    </row>
    <row r="443" spans="1:5">
      <c r="A443" s="98">
        <v>441</v>
      </c>
      <c r="B443" s="240">
        <v>0</v>
      </c>
      <c r="C443" s="102"/>
      <c r="D443" s="50"/>
      <c r="E443" s="147"/>
    </row>
    <row r="444" spans="1:5">
      <c r="A444" s="98">
        <v>442</v>
      </c>
      <c r="B444" s="240">
        <v>0</v>
      </c>
      <c r="C444" s="102"/>
      <c r="D444" s="50"/>
      <c r="E444" s="147"/>
    </row>
    <row r="445" spans="1:5">
      <c r="A445" s="98">
        <v>443</v>
      </c>
      <c r="B445" s="240">
        <v>0</v>
      </c>
      <c r="C445" s="102"/>
      <c r="D445" s="50"/>
      <c r="E445" s="147"/>
    </row>
    <row r="446" spans="1:5">
      <c r="A446" s="98">
        <v>444</v>
      </c>
      <c r="B446" s="240">
        <v>0</v>
      </c>
      <c r="C446" s="102"/>
      <c r="D446" s="50"/>
      <c r="E446" s="147"/>
    </row>
    <row r="447" spans="1:5">
      <c r="A447" s="98">
        <v>445</v>
      </c>
      <c r="B447" s="240">
        <v>0</v>
      </c>
      <c r="C447" s="102"/>
      <c r="D447" s="50"/>
      <c r="E447" s="147"/>
    </row>
    <row r="448" spans="1:5">
      <c r="A448" s="98">
        <v>446</v>
      </c>
      <c r="B448" s="240">
        <v>0</v>
      </c>
      <c r="C448" s="102"/>
      <c r="D448" s="50"/>
      <c r="E448" s="147"/>
    </row>
    <row r="449" spans="1:5">
      <c r="A449" s="98">
        <v>447</v>
      </c>
      <c r="B449" s="240">
        <v>0</v>
      </c>
      <c r="C449" s="102"/>
      <c r="D449" s="50"/>
      <c r="E449" s="147"/>
    </row>
    <row r="450" spans="1:5">
      <c r="A450" s="98">
        <v>448</v>
      </c>
      <c r="B450" s="240">
        <v>0</v>
      </c>
      <c r="C450" s="102"/>
      <c r="D450" s="50"/>
      <c r="E450" s="147"/>
    </row>
    <row r="451" spans="1:5">
      <c r="A451" s="98">
        <v>449</v>
      </c>
      <c r="B451" s="240">
        <v>0</v>
      </c>
      <c r="C451" s="102"/>
      <c r="D451" s="50"/>
      <c r="E451" s="147"/>
    </row>
    <row r="452" spans="1:5">
      <c r="A452" s="98">
        <v>450</v>
      </c>
      <c r="B452" s="240">
        <v>0</v>
      </c>
      <c r="C452" s="102"/>
      <c r="D452" s="50"/>
      <c r="E452" s="147"/>
    </row>
    <row r="453" spans="1:5">
      <c r="A453" s="98">
        <v>451</v>
      </c>
      <c r="B453" s="240">
        <v>0</v>
      </c>
      <c r="C453" s="102"/>
      <c r="D453" s="50"/>
      <c r="E453" s="147"/>
    </row>
    <row r="454" spans="1:5">
      <c r="A454" s="98">
        <v>452</v>
      </c>
      <c r="B454" s="240">
        <v>0</v>
      </c>
      <c r="C454" s="102"/>
      <c r="D454" s="50"/>
      <c r="E454" s="147"/>
    </row>
    <row r="455" spans="1:5">
      <c r="A455" s="98">
        <v>453</v>
      </c>
      <c r="B455" s="240">
        <v>0</v>
      </c>
      <c r="C455" s="102"/>
      <c r="D455" s="50"/>
      <c r="E455" s="147"/>
    </row>
    <row r="456" spans="1:5">
      <c r="A456" s="98">
        <v>454</v>
      </c>
      <c r="B456" s="240">
        <v>0</v>
      </c>
      <c r="C456" s="102"/>
      <c r="D456" s="50"/>
      <c r="E456" s="147"/>
    </row>
    <row r="457" spans="1:5">
      <c r="A457" s="98">
        <v>455</v>
      </c>
      <c r="B457" s="240">
        <v>0</v>
      </c>
      <c r="C457" s="102"/>
      <c r="D457" s="50"/>
      <c r="E457" s="147"/>
    </row>
    <row r="458" spans="1:5">
      <c r="A458" s="98">
        <v>456</v>
      </c>
      <c r="B458" s="240">
        <v>0</v>
      </c>
      <c r="C458" s="102"/>
      <c r="D458" s="50"/>
      <c r="E458" s="147"/>
    </row>
    <row r="459" spans="1:5">
      <c r="A459" s="98">
        <v>457</v>
      </c>
      <c r="B459" s="240">
        <v>0</v>
      </c>
      <c r="C459" s="102"/>
      <c r="D459" s="50"/>
      <c r="E459" s="147"/>
    </row>
    <row r="460" spans="1:5">
      <c r="A460" s="98">
        <v>458</v>
      </c>
      <c r="B460" s="240">
        <v>0</v>
      </c>
      <c r="C460" s="102"/>
      <c r="D460" s="50"/>
      <c r="E460" s="147"/>
    </row>
    <row r="461" spans="1:5">
      <c r="A461" s="98">
        <v>459</v>
      </c>
      <c r="B461" s="240">
        <v>0</v>
      </c>
      <c r="C461" s="102"/>
      <c r="D461" s="50"/>
      <c r="E461" s="147"/>
    </row>
    <row r="462" spans="1:5">
      <c r="A462" s="98">
        <v>460</v>
      </c>
      <c r="B462" s="240">
        <v>0</v>
      </c>
      <c r="C462" s="102"/>
      <c r="D462" s="50"/>
      <c r="E462" s="147"/>
    </row>
    <row r="463" spans="1:5">
      <c r="A463" s="98">
        <v>461</v>
      </c>
      <c r="B463" s="240">
        <v>0</v>
      </c>
      <c r="C463" s="102"/>
      <c r="D463" s="50"/>
      <c r="E463" s="147"/>
    </row>
    <row r="464" spans="1:5">
      <c r="A464" s="98">
        <v>462</v>
      </c>
      <c r="B464" s="240">
        <v>0</v>
      </c>
      <c r="C464" s="102"/>
      <c r="D464" s="50"/>
      <c r="E464" s="147"/>
    </row>
    <row r="465" spans="1:5">
      <c r="A465" s="98">
        <v>463</v>
      </c>
      <c r="B465" s="240">
        <v>0</v>
      </c>
      <c r="C465" s="102"/>
      <c r="D465" s="50"/>
      <c r="E465" s="147"/>
    </row>
    <row r="466" spans="1:5">
      <c r="A466" s="98">
        <v>464</v>
      </c>
      <c r="B466" s="240">
        <v>0</v>
      </c>
      <c r="C466" s="102"/>
      <c r="D466" s="50"/>
      <c r="E466" s="147"/>
    </row>
    <row r="467" spans="1:5">
      <c r="A467" s="98">
        <v>465</v>
      </c>
      <c r="B467" s="240">
        <v>0</v>
      </c>
      <c r="C467" s="102"/>
      <c r="D467" s="50"/>
      <c r="E467" s="147"/>
    </row>
    <row r="468" spans="1:5">
      <c r="A468" s="98">
        <v>466</v>
      </c>
      <c r="B468" s="240">
        <v>0</v>
      </c>
      <c r="C468" s="102"/>
      <c r="D468" s="50"/>
      <c r="E468" s="147"/>
    </row>
    <row r="469" spans="1:5">
      <c r="A469" s="98">
        <v>467</v>
      </c>
      <c r="B469" s="240">
        <v>0</v>
      </c>
      <c r="C469" s="102"/>
      <c r="D469" s="50"/>
      <c r="E469" s="147"/>
    </row>
    <row r="470" spans="1:5">
      <c r="A470" s="98">
        <v>468</v>
      </c>
      <c r="B470" s="240">
        <v>0</v>
      </c>
      <c r="C470" s="102"/>
      <c r="D470" s="50"/>
      <c r="E470" s="147"/>
    </row>
    <row r="471" spans="1:5">
      <c r="A471" s="98">
        <v>469</v>
      </c>
      <c r="B471" s="240">
        <v>0</v>
      </c>
      <c r="C471" s="102"/>
      <c r="D471" s="50"/>
      <c r="E471" s="147"/>
    </row>
    <row r="472" spans="1:5">
      <c r="A472" s="98">
        <v>470</v>
      </c>
      <c r="B472" s="240">
        <v>0</v>
      </c>
      <c r="C472" s="102"/>
      <c r="D472" s="50"/>
      <c r="E472" s="147"/>
    </row>
    <row r="473" spans="1:5">
      <c r="A473" s="98">
        <v>471</v>
      </c>
      <c r="B473" s="240">
        <v>0</v>
      </c>
      <c r="C473" s="102"/>
      <c r="D473" s="50"/>
      <c r="E473" s="147"/>
    </row>
    <row r="474" spans="1:5">
      <c r="A474" s="98">
        <v>472</v>
      </c>
      <c r="B474" s="240">
        <v>0</v>
      </c>
      <c r="C474" s="102"/>
      <c r="D474" s="50"/>
      <c r="E474" s="147"/>
    </row>
    <row r="475" spans="1:5">
      <c r="A475" s="98">
        <v>473</v>
      </c>
      <c r="B475" s="240">
        <v>0</v>
      </c>
      <c r="C475" s="102"/>
      <c r="D475" s="50"/>
      <c r="E475" s="147"/>
    </row>
    <row r="476" spans="1:5">
      <c r="A476" s="98">
        <v>474</v>
      </c>
      <c r="B476" s="240">
        <v>0</v>
      </c>
      <c r="C476" s="102"/>
      <c r="D476" s="50"/>
      <c r="E476" s="147"/>
    </row>
    <row r="477" spans="1:5">
      <c r="A477" s="98">
        <v>475</v>
      </c>
      <c r="B477" s="240">
        <v>0</v>
      </c>
      <c r="C477" s="102"/>
      <c r="D477" s="50"/>
      <c r="E477" s="147"/>
    </row>
    <row r="478" spans="1:5">
      <c r="A478" s="98">
        <v>476</v>
      </c>
      <c r="B478" s="240">
        <v>0</v>
      </c>
      <c r="C478" s="102"/>
      <c r="D478" s="50"/>
      <c r="E478" s="147"/>
    </row>
    <row r="479" spans="1:5">
      <c r="A479" s="98">
        <v>477</v>
      </c>
      <c r="B479" s="240">
        <v>0</v>
      </c>
      <c r="C479" s="102"/>
      <c r="D479" s="50"/>
      <c r="E479" s="147"/>
    </row>
    <row r="480" spans="1:5">
      <c r="A480" s="98">
        <v>478</v>
      </c>
      <c r="B480" s="240">
        <v>0</v>
      </c>
      <c r="C480" s="102"/>
      <c r="D480" s="50"/>
      <c r="E480" s="147"/>
    </row>
    <row r="481" spans="1:5">
      <c r="A481" s="98">
        <v>479</v>
      </c>
      <c r="B481" s="240">
        <v>0</v>
      </c>
      <c r="C481" s="102"/>
      <c r="D481" s="50"/>
      <c r="E481" s="147"/>
    </row>
    <row r="482" spans="1:5">
      <c r="A482" s="98">
        <v>480</v>
      </c>
      <c r="B482" s="240">
        <v>0</v>
      </c>
      <c r="C482" s="102"/>
      <c r="D482" s="50"/>
      <c r="E482" s="147"/>
    </row>
    <row r="483" spans="1:5">
      <c r="A483" s="98">
        <v>481</v>
      </c>
      <c r="B483" s="240">
        <v>0</v>
      </c>
      <c r="C483" s="102"/>
      <c r="D483" s="50"/>
      <c r="E483" s="147"/>
    </row>
    <row r="484" spans="1:5">
      <c r="A484" s="98">
        <v>482</v>
      </c>
      <c r="B484" s="240">
        <v>0</v>
      </c>
      <c r="C484" s="102"/>
      <c r="D484" s="50"/>
      <c r="E484" s="147"/>
    </row>
    <row r="485" spans="1:5">
      <c r="A485" s="98">
        <v>483</v>
      </c>
      <c r="B485" s="240">
        <v>0</v>
      </c>
      <c r="C485" s="102"/>
      <c r="D485" s="50"/>
      <c r="E485" s="147"/>
    </row>
    <row r="486" spans="1:5">
      <c r="A486" s="98">
        <v>484</v>
      </c>
      <c r="B486" s="240">
        <v>0</v>
      </c>
      <c r="C486" s="102"/>
      <c r="D486" s="50"/>
      <c r="E486" s="147"/>
    </row>
    <row r="487" spans="1:5">
      <c r="A487" s="98">
        <v>485</v>
      </c>
      <c r="B487" s="240">
        <v>0</v>
      </c>
      <c r="C487" s="102"/>
      <c r="D487" s="50"/>
      <c r="E487" s="147"/>
    </row>
    <row r="488" spans="1:5">
      <c r="A488" s="98">
        <v>486</v>
      </c>
      <c r="B488" s="240">
        <v>0</v>
      </c>
      <c r="C488" s="102"/>
      <c r="D488" s="50"/>
      <c r="E488" s="147"/>
    </row>
    <row r="489" spans="1:5">
      <c r="A489" s="98">
        <v>487</v>
      </c>
      <c r="B489" s="240">
        <v>0</v>
      </c>
      <c r="C489" s="102"/>
      <c r="D489" s="50"/>
      <c r="E489" s="147"/>
    </row>
    <row r="490" spans="1:5">
      <c r="A490" s="98">
        <v>488</v>
      </c>
      <c r="B490" s="240">
        <v>0</v>
      </c>
      <c r="C490" s="102"/>
      <c r="D490" s="50"/>
      <c r="E490" s="147"/>
    </row>
    <row r="491" spans="1:5">
      <c r="A491" s="98">
        <v>489</v>
      </c>
      <c r="B491" s="240">
        <v>0</v>
      </c>
      <c r="C491" s="102"/>
      <c r="D491" s="50"/>
      <c r="E491" s="147"/>
    </row>
    <row r="492" spans="1:5">
      <c r="A492" s="98">
        <v>490</v>
      </c>
      <c r="B492" s="240">
        <v>0</v>
      </c>
      <c r="C492" s="102"/>
      <c r="D492" s="50"/>
      <c r="E492" s="147"/>
    </row>
    <row r="493" spans="1:5">
      <c r="A493" s="98">
        <v>491</v>
      </c>
      <c r="B493" s="240">
        <v>0</v>
      </c>
      <c r="C493" s="102"/>
      <c r="D493" s="50"/>
      <c r="E493" s="147"/>
    </row>
    <row r="494" spans="1:5">
      <c r="A494" s="98">
        <v>492</v>
      </c>
      <c r="B494" s="240">
        <v>0</v>
      </c>
      <c r="C494" s="102"/>
      <c r="D494" s="50"/>
      <c r="E494" s="147"/>
    </row>
    <row r="495" spans="1:5">
      <c r="A495" s="98">
        <v>493</v>
      </c>
      <c r="B495" s="240">
        <v>0</v>
      </c>
      <c r="C495" s="102"/>
      <c r="D495" s="50"/>
      <c r="E495" s="147"/>
    </row>
    <row r="496" spans="1:5">
      <c r="A496" s="98">
        <v>494</v>
      </c>
      <c r="B496" s="240">
        <v>0</v>
      </c>
      <c r="C496" s="102"/>
      <c r="D496" s="50"/>
      <c r="E496" s="147"/>
    </row>
    <row r="497" spans="1:5">
      <c r="A497" s="98">
        <v>495</v>
      </c>
      <c r="B497" s="240">
        <v>0</v>
      </c>
      <c r="C497" s="102"/>
      <c r="D497" s="50"/>
      <c r="E497" s="147"/>
    </row>
    <row r="498" spans="1:5">
      <c r="A498" s="98">
        <v>496</v>
      </c>
      <c r="B498" s="240">
        <v>0</v>
      </c>
      <c r="C498" s="102"/>
      <c r="D498" s="50"/>
      <c r="E498" s="147"/>
    </row>
    <row r="499" spans="1:5">
      <c r="A499" s="98">
        <v>497</v>
      </c>
      <c r="B499" s="240">
        <v>0</v>
      </c>
      <c r="C499" s="102"/>
      <c r="D499" s="50"/>
      <c r="E499" s="147"/>
    </row>
    <row r="500" spans="1:5">
      <c r="A500" s="98">
        <v>498</v>
      </c>
      <c r="B500" s="240">
        <v>0</v>
      </c>
      <c r="C500" s="102"/>
      <c r="D500" s="50"/>
      <c r="E500" s="147"/>
    </row>
    <row r="501" spans="1:5">
      <c r="A501" s="98">
        <v>499</v>
      </c>
      <c r="B501" s="240">
        <v>0</v>
      </c>
      <c r="C501" s="102"/>
      <c r="D501" s="50"/>
      <c r="E501" s="147"/>
    </row>
    <row r="502" spans="1:5">
      <c r="A502" s="98">
        <v>500</v>
      </c>
      <c r="B502" s="240">
        <v>0</v>
      </c>
      <c r="C502" s="102"/>
      <c r="D502" s="50"/>
      <c r="E502" s="147"/>
    </row>
    <row r="503" spans="1:5">
      <c r="A503" s="98">
        <v>501</v>
      </c>
      <c r="B503" s="240">
        <v>0</v>
      </c>
      <c r="C503" s="102"/>
      <c r="D503" s="50"/>
      <c r="E503" s="147"/>
    </row>
    <row r="504" spans="1:5">
      <c r="A504" s="98">
        <v>502</v>
      </c>
      <c r="B504" s="240">
        <v>0</v>
      </c>
      <c r="C504" s="102"/>
      <c r="D504" s="50"/>
      <c r="E504" s="147"/>
    </row>
    <row r="505" spans="1:5">
      <c r="A505" s="98">
        <v>503</v>
      </c>
      <c r="B505" s="240">
        <v>0</v>
      </c>
      <c r="C505" s="102"/>
      <c r="D505" s="50"/>
      <c r="E505" s="147"/>
    </row>
    <row r="506" spans="1:5">
      <c r="A506" s="98">
        <v>504</v>
      </c>
      <c r="B506" s="240">
        <v>0</v>
      </c>
      <c r="C506" s="102"/>
      <c r="D506" s="50"/>
      <c r="E506" s="147"/>
    </row>
    <row r="507" spans="1:5">
      <c r="A507" s="98">
        <v>505</v>
      </c>
      <c r="B507" s="240">
        <v>0</v>
      </c>
      <c r="C507" s="102"/>
      <c r="D507" s="50"/>
      <c r="E507" s="147"/>
    </row>
    <row r="508" spans="1:5">
      <c r="A508" s="98">
        <v>506</v>
      </c>
      <c r="B508" s="240">
        <v>0</v>
      </c>
      <c r="C508" s="102"/>
      <c r="D508" s="50"/>
      <c r="E508" s="147"/>
    </row>
    <row r="509" spans="1:5">
      <c r="A509" s="98">
        <v>507</v>
      </c>
      <c r="B509" s="240">
        <v>0</v>
      </c>
      <c r="C509" s="102"/>
      <c r="D509" s="50"/>
      <c r="E509" s="147"/>
    </row>
    <row r="510" spans="1:5">
      <c r="A510" s="98">
        <v>508</v>
      </c>
      <c r="B510" s="240">
        <v>0</v>
      </c>
      <c r="C510" s="102"/>
      <c r="D510" s="50"/>
      <c r="E510" s="147"/>
    </row>
    <row r="511" spans="1:5">
      <c r="A511" s="98">
        <v>509</v>
      </c>
      <c r="B511" s="240">
        <v>0</v>
      </c>
      <c r="C511" s="102"/>
      <c r="D511" s="50"/>
      <c r="E511" s="147"/>
    </row>
    <row r="512" spans="1:5">
      <c r="A512" s="98">
        <v>510</v>
      </c>
      <c r="B512" s="240">
        <v>0</v>
      </c>
      <c r="C512" s="102"/>
      <c r="D512" s="50"/>
      <c r="E512" s="147"/>
    </row>
    <row r="513" spans="1:5">
      <c r="A513" s="98">
        <v>511</v>
      </c>
      <c r="B513" s="240">
        <v>0</v>
      </c>
      <c r="C513" s="102"/>
      <c r="D513" s="50"/>
      <c r="E513" s="147"/>
    </row>
    <row r="514" spans="1:5">
      <c r="A514" s="98">
        <v>512</v>
      </c>
      <c r="B514" s="240">
        <v>0</v>
      </c>
      <c r="C514" s="102"/>
      <c r="D514" s="50"/>
      <c r="E514" s="147"/>
    </row>
    <row r="515" spans="1:5">
      <c r="A515" s="98">
        <v>513</v>
      </c>
      <c r="B515" s="240">
        <v>0</v>
      </c>
      <c r="C515" s="102"/>
      <c r="D515" s="50"/>
      <c r="E515" s="147"/>
    </row>
    <row r="516" spans="1:5">
      <c r="A516" s="98">
        <v>514</v>
      </c>
      <c r="B516" s="240">
        <v>0</v>
      </c>
      <c r="C516" s="102"/>
      <c r="D516" s="50"/>
      <c r="E516" s="147"/>
    </row>
    <row r="517" spans="1:5">
      <c r="A517" s="98">
        <v>515</v>
      </c>
      <c r="B517" s="240">
        <v>0</v>
      </c>
      <c r="C517" s="102"/>
      <c r="D517" s="50"/>
      <c r="E517" s="147"/>
    </row>
    <row r="518" spans="1:5">
      <c r="A518" s="98">
        <v>516</v>
      </c>
      <c r="B518" s="240">
        <v>0</v>
      </c>
      <c r="C518" s="102"/>
      <c r="D518" s="50"/>
      <c r="E518" s="147"/>
    </row>
    <row r="519" spans="1:5">
      <c r="A519" s="98">
        <v>517</v>
      </c>
      <c r="B519" s="240">
        <v>0</v>
      </c>
      <c r="C519" s="102"/>
      <c r="D519" s="50"/>
      <c r="E519" s="147"/>
    </row>
    <row r="520" spans="1:5">
      <c r="A520" s="98">
        <v>518</v>
      </c>
      <c r="B520" s="240">
        <v>0</v>
      </c>
      <c r="C520" s="102"/>
      <c r="D520" s="50"/>
      <c r="E520" s="147"/>
    </row>
    <row r="521" spans="1:5">
      <c r="A521" s="98">
        <v>519</v>
      </c>
      <c r="B521" s="240">
        <v>0</v>
      </c>
      <c r="C521" s="102"/>
      <c r="D521" s="50"/>
      <c r="E521" s="147"/>
    </row>
    <row r="522" spans="1:5">
      <c r="A522" s="98">
        <v>520</v>
      </c>
      <c r="B522" s="240">
        <v>0</v>
      </c>
      <c r="C522" s="102"/>
      <c r="D522" s="50"/>
      <c r="E522" s="147"/>
    </row>
    <row r="523" spans="1:5">
      <c r="A523" s="98">
        <v>521</v>
      </c>
      <c r="B523" s="240">
        <v>0</v>
      </c>
      <c r="C523" s="102"/>
      <c r="D523" s="50"/>
      <c r="E523" s="147"/>
    </row>
    <row r="524" spans="1:5">
      <c r="A524" s="98">
        <v>522</v>
      </c>
      <c r="B524" s="240">
        <v>0</v>
      </c>
      <c r="C524" s="102"/>
      <c r="D524" s="50"/>
      <c r="E524" s="147"/>
    </row>
    <row r="525" spans="1:5">
      <c r="A525" s="98">
        <v>523</v>
      </c>
      <c r="B525" s="240">
        <v>0</v>
      </c>
      <c r="C525" s="102"/>
      <c r="D525" s="50"/>
      <c r="E525" s="147"/>
    </row>
    <row r="526" spans="1:5">
      <c r="A526" s="98">
        <v>524</v>
      </c>
      <c r="B526" s="240">
        <v>0</v>
      </c>
      <c r="C526" s="102"/>
      <c r="D526" s="50"/>
      <c r="E526" s="147"/>
    </row>
    <row r="527" spans="1:5">
      <c r="A527" s="98">
        <v>525</v>
      </c>
      <c r="B527" s="240">
        <v>0</v>
      </c>
      <c r="C527" s="102"/>
      <c r="D527" s="50"/>
      <c r="E527" s="147"/>
    </row>
    <row r="528" spans="1:5">
      <c r="A528" s="98">
        <v>526</v>
      </c>
      <c r="B528" s="240">
        <v>0</v>
      </c>
      <c r="C528" s="102"/>
      <c r="D528" s="50"/>
      <c r="E528" s="147"/>
    </row>
    <row r="529" spans="1:5">
      <c r="A529" s="98">
        <v>527</v>
      </c>
      <c r="B529" s="240">
        <v>0</v>
      </c>
      <c r="C529" s="102"/>
      <c r="D529" s="50"/>
      <c r="E529" s="147"/>
    </row>
    <row r="530" spans="1:5">
      <c r="A530" s="98">
        <v>528</v>
      </c>
      <c r="B530" s="240">
        <v>0</v>
      </c>
      <c r="C530" s="102"/>
      <c r="D530" s="50"/>
      <c r="E530" s="147"/>
    </row>
    <row r="531" spans="1:5">
      <c r="A531" s="98">
        <v>529</v>
      </c>
      <c r="B531" s="240">
        <v>0</v>
      </c>
      <c r="C531" s="102"/>
      <c r="D531" s="50"/>
      <c r="E531" s="147"/>
    </row>
    <row r="532" spans="1:5">
      <c r="A532" s="98">
        <v>530</v>
      </c>
      <c r="B532" s="240">
        <v>0</v>
      </c>
      <c r="C532" s="102"/>
      <c r="D532" s="50"/>
      <c r="E532" s="147"/>
    </row>
    <row r="533" spans="1:5">
      <c r="A533" s="98">
        <v>531</v>
      </c>
      <c r="B533" s="240">
        <v>0</v>
      </c>
      <c r="C533" s="102"/>
      <c r="D533" s="50"/>
      <c r="E533" s="147"/>
    </row>
    <row r="534" spans="1:5">
      <c r="A534" s="98">
        <v>532</v>
      </c>
      <c r="B534" s="240">
        <v>0</v>
      </c>
      <c r="C534" s="102"/>
      <c r="D534" s="50"/>
      <c r="E534" s="147"/>
    </row>
    <row r="535" spans="1:5">
      <c r="A535" s="98">
        <v>533</v>
      </c>
      <c r="B535" s="240">
        <v>0</v>
      </c>
      <c r="C535" s="102"/>
      <c r="D535" s="50"/>
      <c r="E535" s="147"/>
    </row>
    <row r="536" spans="1:5">
      <c r="A536" s="98">
        <v>534</v>
      </c>
      <c r="B536" s="240">
        <v>0</v>
      </c>
      <c r="C536" s="102"/>
      <c r="D536" s="50"/>
      <c r="E536" s="147"/>
    </row>
    <row r="537" spans="1:5">
      <c r="A537" s="98">
        <v>535</v>
      </c>
      <c r="B537" s="240">
        <v>0</v>
      </c>
      <c r="C537" s="102"/>
      <c r="D537" s="50"/>
      <c r="E537" s="147"/>
    </row>
    <row r="538" spans="1:5">
      <c r="A538" s="98">
        <v>536</v>
      </c>
      <c r="B538" s="240">
        <v>0</v>
      </c>
      <c r="C538" s="102"/>
      <c r="D538" s="50"/>
      <c r="E538" s="147"/>
    </row>
    <row r="539" spans="1:5">
      <c r="A539" s="98">
        <v>537</v>
      </c>
      <c r="B539" s="240">
        <v>0</v>
      </c>
      <c r="C539" s="102"/>
      <c r="D539" s="50"/>
      <c r="E539" s="147"/>
    </row>
    <row r="540" spans="1:5">
      <c r="A540" s="98">
        <v>538</v>
      </c>
      <c r="B540" s="240">
        <v>0</v>
      </c>
      <c r="C540" s="102"/>
      <c r="D540" s="50"/>
      <c r="E540" s="147"/>
    </row>
    <row r="541" spans="1:5">
      <c r="A541" s="98">
        <v>539</v>
      </c>
      <c r="B541" s="240">
        <v>0</v>
      </c>
      <c r="C541" s="102"/>
      <c r="D541" s="50"/>
      <c r="E541" s="147"/>
    </row>
    <row r="542" spans="1:5">
      <c r="A542" s="98">
        <v>540</v>
      </c>
      <c r="B542" s="240">
        <v>0</v>
      </c>
      <c r="C542" s="102"/>
      <c r="D542" s="50"/>
      <c r="E542" s="147"/>
    </row>
    <row r="543" spans="1:5">
      <c r="A543" s="98">
        <v>541</v>
      </c>
      <c r="B543" s="240">
        <v>0</v>
      </c>
      <c r="C543" s="102"/>
      <c r="D543" s="50"/>
      <c r="E543" s="147"/>
    </row>
    <row r="544" spans="1:5">
      <c r="A544" s="98">
        <v>542</v>
      </c>
      <c r="B544" s="240">
        <v>0</v>
      </c>
      <c r="C544" s="102"/>
      <c r="D544" s="50"/>
      <c r="E544" s="147"/>
    </row>
    <row r="545" spans="1:5">
      <c r="A545" s="98">
        <v>543</v>
      </c>
      <c r="B545" s="240">
        <v>0</v>
      </c>
      <c r="C545" s="102"/>
      <c r="D545" s="50"/>
      <c r="E545" s="147"/>
    </row>
    <row r="546" spans="1:5">
      <c r="A546" s="98">
        <v>544</v>
      </c>
      <c r="B546" s="240">
        <v>0</v>
      </c>
      <c r="C546" s="102"/>
      <c r="D546" s="50"/>
      <c r="E546" s="147"/>
    </row>
    <row r="547" spans="1:5">
      <c r="A547" s="98">
        <v>545</v>
      </c>
      <c r="B547" s="240">
        <v>0</v>
      </c>
      <c r="C547" s="102"/>
      <c r="D547" s="50"/>
      <c r="E547" s="147"/>
    </row>
    <row r="548" spans="1:5">
      <c r="A548" s="98">
        <v>546</v>
      </c>
      <c r="B548" s="240">
        <v>0</v>
      </c>
      <c r="C548" s="102"/>
      <c r="D548" s="50"/>
      <c r="E548" s="147"/>
    </row>
    <row r="549" spans="1:5">
      <c r="A549" s="98">
        <v>547</v>
      </c>
      <c r="B549" s="240">
        <v>0</v>
      </c>
      <c r="C549" s="102"/>
      <c r="D549" s="50"/>
      <c r="E549" s="147"/>
    </row>
    <row r="550" spans="1:5">
      <c r="A550" s="98">
        <v>548</v>
      </c>
      <c r="B550" s="240">
        <v>0</v>
      </c>
      <c r="C550" s="102"/>
      <c r="D550" s="50"/>
      <c r="E550" s="147"/>
    </row>
    <row r="551" spans="1:5">
      <c r="A551" s="98">
        <v>549</v>
      </c>
      <c r="B551" s="240">
        <v>0</v>
      </c>
      <c r="C551" s="102"/>
      <c r="D551" s="50"/>
      <c r="E551" s="147"/>
    </row>
    <row r="552" spans="1:5">
      <c r="A552" s="98">
        <v>550</v>
      </c>
      <c r="B552" s="240">
        <v>0</v>
      </c>
      <c r="C552" s="102"/>
      <c r="D552" s="50"/>
      <c r="E552" s="147"/>
    </row>
    <row r="553" spans="1:5">
      <c r="A553" s="98">
        <v>551</v>
      </c>
      <c r="B553" s="240">
        <v>0</v>
      </c>
      <c r="C553" s="102"/>
      <c r="D553" s="50"/>
      <c r="E553" s="147"/>
    </row>
    <row r="554" spans="1:5">
      <c r="A554" s="98">
        <v>552</v>
      </c>
      <c r="B554" s="240">
        <v>0</v>
      </c>
      <c r="C554" s="102"/>
      <c r="D554" s="50"/>
      <c r="E554" s="147"/>
    </row>
    <row r="555" spans="1:5">
      <c r="A555" s="98">
        <v>553</v>
      </c>
      <c r="B555" s="240">
        <v>0</v>
      </c>
      <c r="C555" s="102"/>
      <c r="D555" s="50"/>
      <c r="E555" s="147"/>
    </row>
    <row r="556" spans="1:5">
      <c r="A556" s="98">
        <v>554</v>
      </c>
      <c r="B556" s="240">
        <v>0</v>
      </c>
      <c r="C556" s="102"/>
      <c r="D556" s="50"/>
      <c r="E556" s="147"/>
    </row>
    <row r="557" spans="1:5">
      <c r="A557" s="98">
        <v>555</v>
      </c>
      <c r="B557" s="240">
        <v>0</v>
      </c>
      <c r="C557" s="102"/>
      <c r="D557" s="50"/>
      <c r="E557" s="147"/>
    </row>
    <row r="558" spans="1:5">
      <c r="A558" s="98">
        <v>556</v>
      </c>
      <c r="B558" s="240">
        <v>0</v>
      </c>
      <c r="C558" s="102"/>
      <c r="D558" s="50"/>
      <c r="E558" s="147"/>
    </row>
    <row r="559" spans="1:5">
      <c r="A559" s="98">
        <v>557</v>
      </c>
      <c r="B559" s="240">
        <v>0</v>
      </c>
      <c r="C559" s="102"/>
      <c r="D559" s="50"/>
      <c r="E559" s="147"/>
    </row>
    <row r="560" spans="1:5">
      <c r="A560" s="98">
        <v>558</v>
      </c>
      <c r="B560" s="240">
        <v>0</v>
      </c>
      <c r="C560" s="102"/>
      <c r="D560" s="50"/>
      <c r="E560" s="147"/>
    </row>
    <row r="561" spans="1:5">
      <c r="A561" s="98">
        <v>559</v>
      </c>
      <c r="B561" s="240">
        <v>0</v>
      </c>
      <c r="C561" s="102"/>
      <c r="D561" s="50"/>
      <c r="E561" s="147"/>
    </row>
    <row r="562" spans="1:5">
      <c r="A562" s="98">
        <v>560</v>
      </c>
      <c r="B562" s="240">
        <v>0</v>
      </c>
      <c r="C562" s="102"/>
      <c r="D562" s="50"/>
      <c r="E562" s="147"/>
    </row>
    <row r="563" spans="1:5">
      <c r="A563" s="98">
        <v>561</v>
      </c>
      <c r="B563" s="240">
        <v>0</v>
      </c>
      <c r="C563" s="102"/>
      <c r="D563" s="50"/>
      <c r="E563" s="147"/>
    </row>
    <row r="564" spans="1:5">
      <c r="A564" s="98">
        <v>562</v>
      </c>
      <c r="B564" s="240">
        <v>0</v>
      </c>
      <c r="C564" s="102"/>
      <c r="D564" s="50"/>
      <c r="E564" s="147"/>
    </row>
    <row r="565" spans="1:5">
      <c r="A565" s="98">
        <v>563</v>
      </c>
      <c r="B565" s="240">
        <v>0</v>
      </c>
      <c r="C565" s="102"/>
      <c r="D565" s="50"/>
      <c r="E565" s="147"/>
    </row>
    <row r="566" spans="1:5">
      <c r="A566" s="98">
        <v>564</v>
      </c>
      <c r="B566" s="240">
        <v>0</v>
      </c>
      <c r="C566" s="102"/>
      <c r="D566" s="50"/>
      <c r="E566" s="147"/>
    </row>
    <row r="567" spans="1:5">
      <c r="A567" s="98">
        <v>565</v>
      </c>
      <c r="B567" s="240">
        <v>0</v>
      </c>
      <c r="C567" s="102"/>
      <c r="D567" s="50"/>
      <c r="E567" s="147"/>
    </row>
    <row r="568" spans="1:5">
      <c r="A568" s="98">
        <v>566</v>
      </c>
      <c r="B568" s="240">
        <v>0</v>
      </c>
      <c r="C568" s="102"/>
      <c r="D568" s="50"/>
      <c r="E568" s="147"/>
    </row>
    <row r="569" spans="1:5">
      <c r="A569" s="98">
        <v>567</v>
      </c>
      <c r="B569" s="240">
        <v>0</v>
      </c>
      <c r="C569" s="102"/>
      <c r="D569" s="50"/>
      <c r="E569" s="147"/>
    </row>
    <row r="570" spans="1:5">
      <c r="A570" s="98">
        <v>568</v>
      </c>
      <c r="B570" s="240">
        <v>0</v>
      </c>
      <c r="C570" s="102"/>
      <c r="D570" s="50"/>
      <c r="E570" s="147"/>
    </row>
    <row r="571" spans="1:5">
      <c r="A571" s="98">
        <v>569</v>
      </c>
      <c r="B571" s="240">
        <v>0</v>
      </c>
      <c r="C571" s="102"/>
      <c r="D571" s="50"/>
      <c r="E571" s="147"/>
    </row>
    <row r="572" spans="1:5">
      <c r="A572" s="98">
        <v>570</v>
      </c>
      <c r="B572" s="240">
        <v>0</v>
      </c>
      <c r="C572" s="102"/>
      <c r="D572" s="50"/>
      <c r="E572" s="147"/>
    </row>
    <row r="573" spans="1:5">
      <c r="A573" s="98">
        <v>571</v>
      </c>
      <c r="B573" s="240">
        <v>0</v>
      </c>
      <c r="C573" s="102"/>
      <c r="D573" s="50"/>
      <c r="E573" s="147"/>
    </row>
    <row r="574" spans="1:5">
      <c r="A574" s="98">
        <v>572</v>
      </c>
      <c r="B574" s="240">
        <v>0</v>
      </c>
      <c r="C574" s="102"/>
      <c r="D574" s="50"/>
      <c r="E574" s="147"/>
    </row>
    <row r="575" spans="1:5">
      <c r="A575" s="98">
        <v>573</v>
      </c>
      <c r="B575" s="240">
        <v>0</v>
      </c>
      <c r="C575" s="102"/>
      <c r="D575" s="50"/>
      <c r="E575" s="147"/>
    </row>
    <row r="576" spans="1:5">
      <c r="A576" s="98">
        <v>574</v>
      </c>
      <c r="B576" s="240">
        <v>0</v>
      </c>
      <c r="C576" s="102"/>
      <c r="D576" s="50"/>
      <c r="E576" s="147"/>
    </row>
    <row r="577" spans="1:5">
      <c r="A577" s="98">
        <v>575</v>
      </c>
      <c r="B577" s="240">
        <v>0</v>
      </c>
      <c r="C577" s="102"/>
      <c r="D577" s="50"/>
      <c r="E577" s="147"/>
    </row>
    <row r="578" spans="1:5">
      <c r="A578" s="98">
        <v>576</v>
      </c>
      <c r="B578" s="240">
        <v>0</v>
      </c>
      <c r="C578" s="102"/>
      <c r="D578" s="50"/>
      <c r="E578" s="147"/>
    </row>
    <row r="579" spans="1:5">
      <c r="A579" s="98">
        <v>577</v>
      </c>
      <c r="B579" s="240">
        <v>0</v>
      </c>
      <c r="C579" s="102"/>
      <c r="D579" s="50"/>
      <c r="E579" s="147"/>
    </row>
    <row r="580" spans="1:5">
      <c r="A580" s="98">
        <v>578</v>
      </c>
      <c r="B580" s="240">
        <v>0</v>
      </c>
      <c r="C580" s="102"/>
      <c r="D580" s="50"/>
      <c r="E580" s="147"/>
    </row>
    <row r="581" spans="1:5">
      <c r="A581" s="98">
        <v>579</v>
      </c>
      <c r="B581" s="240">
        <v>0</v>
      </c>
      <c r="C581" s="102"/>
      <c r="D581" s="50"/>
      <c r="E581" s="147"/>
    </row>
    <row r="582" spans="1:5">
      <c r="A582" s="98">
        <v>580</v>
      </c>
      <c r="B582" s="240">
        <v>0</v>
      </c>
      <c r="C582" s="102"/>
      <c r="D582" s="50"/>
      <c r="E582" s="147"/>
    </row>
    <row r="583" spans="1:5">
      <c r="A583" s="98">
        <v>581</v>
      </c>
      <c r="B583" s="240">
        <v>0</v>
      </c>
      <c r="C583" s="102"/>
      <c r="D583" s="50"/>
      <c r="E583" s="147"/>
    </row>
    <row r="584" spans="1:5">
      <c r="A584" s="98">
        <v>582</v>
      </c>
      <c r="B584" s="240">
        <v>0</v>
      </c>
      <c r="C584" s="102"/>
      <c r="D584" s="50"/>
      <c r="E584" s="147"/>
    </row>
    <row r="585" spans="1:5">
      <c r="A585" s="98">
        <v>583</v>
      </c>
      <c r="B585" s="240">
        <v>0</v>
      </c>
      <c r="C585" s="102"/>
      <c r="D585" s="50"/>
      <c r="E585" s="147"/>
    </row>
    <row r="586" spans="1:5">
      <c r="A586" s="98">
        <v>584</v>
      </c>
      <c r="B586" s="240">
        <v>0</v>
      </c>
      <c r="C586" s="102"/>
      <c r="D586" s="50"/>
      <c r="E586" s="147"/>
    </row>
    <row r="587" spans="1:5">
      <c r="A587" s="98">
        <v>585</v>
      </c>
      <c r="B587" s="240">
        <v>0</v>
      </c>
      <c r="C587" s="102"/>
      <c r="D587" s="50"/>
      <c r="E587" s="147"/>
    </row>
    <row r="588" spans="1:5">
      <c r="A588" s="98">
        <v>586</v>
      </c>
      <c r="B588" s="240">
        <v>0</v>
      </c>
      <c r="C588" s="102"/>
      <c r="D588" s="50"/>
      <c r="E588" s="147"/>
    </row>
    <row r="589" spans="1:5">
      <c r="A589" s="98">
        <v>587</v>
      </c>
      <c r="B589" s="240">
        <v>0</v>
      </c>
      <c r="C589" s="102"/>
      <c r="D589" s="50"/>
      <c r="E589" s="147"/>
    </row>
    <row r="590" spans="1:5">
      <c r="A590" s="98">
        <v>588</v>
      </c>
      <c r="B590" s="240">
        <v>0</v>
      </c>
      <c r="C590" s="102"/>
      <c r="D590" s="50"/>
      <c r="E590" s="147"/>
    </row>
    <row r="591" spans="1:5">
      <c r="A591" s="98">
        <v>589</v>
      </c>
      <c r="B591" s="240">
        <v>0</v>
      </c>
      <c r="C591" s="102"/>
      <c r="D591" s="50"/>
      <c r="E591" s="147"/>
    </row>
    <row r="592" spans="1:5">
      <c r="A592" s="98">
        <v>590</v>
      </c>
      <c r="B592" s="240">
        <v>0</v>
      </c>
      <c r="C592" s="102"/>
      <c r="D592" s="50"/>
      <c r="E592" s="147"/>
    </row>
    <row r="593" spans="1:5">
      <c r="A593" s="98">
        <v>591</v>
      </c>
      <c r="B593" s="240">
        <v>0</v>
      </c>
      <c r="C593" s="102"/>
      <c r="D593" s="50"/>
      <c r="E593" s="147"/>
    </row>
    <row r="594" spans="1:5">
      <c r="A594" s="98">
        <v>592</v>
      </c>
      <c r="B594" s="240">
        <v>0</v>
      </c>
      <c r="C594" s="102"/>
      <c r="D594" s="50"/>
      <c r="E594" s="147"/>
    </row>
    <row r="595" spans="1:5">
      <c r="A595" s="98">
        <v>593</v>
      </c>
      <c r="B595" s="240">
        <v>0</v>
      </c>
      <c r="C595" s="102"/>
      <c r="D595" s="50"/>
      <c r="E595" s="147"/>
    </row>
    <row r="596" spans="1:5">
      <c r="A596" s="98">
        <v>594</v>
      </c>
      <c r="B596" s="240">
        <v>0</v>
      </c>
      <c r="C596" s="102"/>
      <c r="D596" s="50"/>
      <c r="E596" s="147"/>
    </row>
    <row r="597" spans="1:5">
      <c r="A597" s="98">
        <v>595</v>
      </c>
      <c r="B597" s="240">
        <v>0</v>
      </c>
      <c r="C597" s="102"/>
      <c r="D597" s="50"/>
      <c r="E597" s="147"/>
    </row>
    <row r="598" spans="1:5">
      <c r="A598" s="98">
        <v>596</v>
      </c>
      <c r="B598" s="240">
        <v>0</v>
      </c>
      <c r="C598" s="102"/>
      <c r="D598" s="50"/>
      <c r="E598" s="147"/>
    </row>
    <row r="599" spans="1:5">
      <c r="A599" s="98">
        <v>597</v>
      </c>
      <c r="B599" s="240">
        <v>0</v>
      </c>
      <c r="C599" s="102"/>
      <c r="D599" s="50"/>
      <c r="E599" s="147"/>
    </row>
    <row r="600" spans="1:5">
      <c r="A600" s="98">
        <v>598</v>
      </c>
      <c r="B600" s="240">
        <v>0</v>
      </c>
      <c r="C600" s="102"/>
      <c r="D600" s="50"/>
      <c r="E600" s="147"/>
    </row>
    <row r="601" spans="1:5">
      <c r="A601" s="98">
        <v>599</v>
      </c>
      <c r="B601" s="240">
        <v>0</v>
      </c>
      <c r="C601" s="102"/>
      <c r="D601" s="50"/>
      <c r="E601" s="147"/>
    </row>
    <row r="602" spans="1:5">
      <c r="A602" s="98">
        <v>600</v>
      </c>
      <c r="B602" s="240">
        <v>0</v>
      </c>
      <c r="C602" s="102"/>
      <c r="D602" s="50"/>
      <c r="E602" s="147"/>
    </row>
    <row r="603" spans="1:5">
      <c r="A603" s="98">
        <v>601</v>
      </c>
      <c r="B603" s="240">
        <v>0</v>
      </c>
      <c r="C603" s="102"/>
      <c r="D603" s="50"/>
      <c r="E603" s="147"/>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UDA">
    <tabColor rgb="FFFFC000"/>
  </sheetPr>
  <sheetViews>
    <sheetView zoomScaleNormal="100" zoomScaleSheetLayoutView="100" workbookViewId="0">
      <selection activeCell="C16" sqref="C16"/>
    </sheetView>
  </sheetViews>
  <sheetFormatPr baseColWidth="10" defaultColWidth="9.1640625" defaultRowHeight="12"/>
  <cols>
    <col min="1" max="2" width="11.33203125" style="191" customWidth="1"/>
    <col min="3" max="3" width="27.6640625" style="191" customWidth="1"/>
    <col min="4" max="4" width="19.5" style="191" customWidth="1"/>
    <col min="5" max="5" width="19.1640625" style="191" customWidth="1"/>
    <col min="6" max="6" width="13.5" style="191" customWidth="1"/>
    <col min="7" max="7" width="17.33203125" style="191" customWidth="1"/>
    <col min="8" max="8" width="16.6640625" style="191" customWidth="1"/>
    <col min="9" max="9" width="21.1640625" style="191" customWidth="1"/>
    <col min="10" max="10" width="13.33203125" style="191" customWidth="1"/>
    <col min="11" max="11" width="6.83203125" style="191" customWidth="1"/>
    <col min="12" max="12" width="14.1640625" style="191" customWidth="1"/>
    <col min="13" max="13" width="10.6640625" style="191" customWidth="1"/>
    <col min="14" max="14" width="27" style="191" customWidth="1"/>
    <col min="15" max="15" width="5.33203125" style="191" customWidth="1"/>
    <col min="16" max="16" width="19" style="191" customWidth="1"/>
    <col min="17" max="17" width="16.83203125" style="191" customWidth="1"/>
    <col min="18" max="18" width="18.5" style="191" customWidth="1"/>
    <col min="19" max="19" width="16.1640625" style="191" customWidth="1"/>
    <col min="20" max="20" width="15.5" style="191" customWidth="1"/>
    <col min="21" max="21" width="9.5" style="191" customWidth="1"/>
    <col min="22" max="22" width="8.5" style="191" customWidth="1"/>
    <col min="23" max="23" width="7.83203125" style="191" customWidth="1"/>
    <col min="24" max="24" width="10.83203125" style="191" customWidth="1"/>
    <col min="25" max="25" width="10.6640625" style="191" customWidth="1"/>
    <col min="26" max="26" width="4.6640625" style="191" customWidth="1"/>
    <col min="27" max="27" width="11.5" style="191" customWidth="1"/>
    <col min="28" max="29" width="12.5" style="191" customWidth="1"/>
    <col min="30" max="30" width="15.6640625" style="191" customWidth="1"/>
    <col min="31" max="31" width="14.83203125" style="191" customWidth="1"/>
    <col min="32" max="32" width="10.5" style="191" customWidth="1"/>
    <col min="33" max="33" width="13.33203125" style="191" customWidth="1"/>
    <col min="34" max="34" width="117" style="191" customWidth="1"/>
    <col min="35" max="35" width="11.5" style="191" customWidth="1"/>
    <col min="36" max="36" width="12.1640625" style="191" customWidth="1"/>
    <col min="37" max="37" width="16.5" style="191" customWidth="1"/>
    <col min="38" max="38" width="15.5" style="191" customWidth="1"/>
    <col min="39" max="39" width="20" style="191" customWidth="1"/>
    <col min="40" max="40" width="12" style="191" customWidth="1"/>
    <col min="41" max="41" width="19.1640625" style="191" customWidth="1"/>
    <col min="42" max="42" width="12.83203125" style="191" customWidth="1"/>
    <col min="43" max="43" width="14.33203125" style="191" customWidth="1"/>
    <col min="44" max="44" width="10.83203125" style="191" customWidth="1"/>
    <col min="45" max="45" width="23.5" style="191" customWidth="1"/>
    <col min="46" max="46" width="9.33203125" style="191" customWidth="1"/>
    <col min="47" max="47" width="19.1640625" style="191" customWidth="1"/>
    <col min="48" max="48" width="13.5" style="191" customWidth="1"/>
    <col min="49" max="49" width="23" style="191" customWidth="1"/>
    <col min="50" max="50" width="14.1640625" style="191" customWidth="1"/>
    <col min="51" max="51" width="16.1640625" style="191" customWidth="1"/>
    <col min="52" max="52" width="15.6640625" style="191" customWidth="1"/>
    <col min="53" max="53" width="19.5" style="191" customWidth="1"/>
    <col min="54" max="54" width="14" style="191" customWidth="1"/>
    <col min="55" max="55" width="18" style="191" customWidth="1"/>
    <col min="56" max="56" width="11.83203125" style="191" customWidth="1"/>
    <col min="57" max="57" width="22.33203125" style="191" customWidth="1"/>
    <col min="58" max="58" width="14.33203125" style="191" customWidth="1"/>
    <col min="59" max="59" width="17.5" style="191" customWidth="1"/>
    <col min="60" max="60" width="11.5" style="191" customWidth="1"/>
    <col min="61" max="61" width="13.1640625" style="191" customWidth="1"/>
    <col min="62" max="62" width="13.6640625" style="191" customWidth="1"/>
    <col min="63" max="63" width="8.6640625" style="191" customWidth="1"/>
    <col min="64" max="64" width="13.5" style="191" customWidth="1"/>
    <col min="65" max="66" width="14.5" style="191" customWidth="1"/>
    <col min="67" max="67" width="11" style="191" customWidth="1"/>
    <col min="68" max="68" width="19.5" style="191" customWidth="1"/>
    <col min="69" max="70" width="15.6640625" style="191" customWidth="1"/>
    <col min="71" max="71" width="12.33203125" style="191" customWidth="1"/>
    <col min="72" max="72" width="8.5" style="191" customWidth="1"/>
    <col min="73" max="73" width="9.5" style="191" customWidth="1"/>
    <col min="74" max="74" width="11.5" style="191" customWidth="1"/>
    <col min="75" max="75" width="13.5" style="191" customWidth="1"/>
    <col min="76" max="76" width="20.33203125" style="191" customWidth="1"/>
    <col min="77" max="77" width="24.33203125" style="191" customWidth="1"/>
    <col min="78" max="78" width="13.6640625" style="191" customWidth="1"/>
    <col min="79" max="79" width="18.5" style="191" customWidth="1"/>
    <col min="80" max="80" width="24.83203125" style="191" customWidth="1"/>
    <col min="81" max="81" width="15.5" style="191" customWidth="1"/>
    <col min="82" max="82" width="15.1640625" style="191" customWidth="1"/>
    <col min="83" max="83" width="16.5" style="191" customWidth="1"/>
    <col min="84" max="84" width="25.1640625" style="191" customWidth="1"/>
    <col min="85" max="85" width="26.5" style="191" customWidth="1"/>
    <col min="86" max="86" width="22.1640625" style="191" customWidth="1"/>
    <col min="87" max="87" width="22.33203125" style="191" customWidth="1"/>
    <col min="88" max="88" width="21" style="191" customWidth="1"/>
    <col min="89" max="89" width="23.1640625" style="191" customWidth="1"/>
    <col min="90" max="90" width="8.83203125" style="191" customWidth="1"/>
    <col min="91" max="91" width="14.6640625" style="191" customWidth="1"/>
    <col min="92" max="92" width="17.5" style="191" customWidth="1"/>
    <col min="93" max="93" width="20.6640625" style="191" customWidth="1"/>
    <col min="94" max="94" width="13.5" style="191" customWidth="1"/>
    <col min="95" max="95" width="20.5" style="191" customWidth="1"/>
    <col min="96" max="96" width="14.5" style="191" customWidth="1"/>
    <col min="97" max="97" width="18" style="191" customWidth="1"/>
    <col min="98" max="98" width="23.83203125" style="191" customWidth="1"/>
    <col min="99" max="99" width="20.5" style="191" customWidth="1"/>
    <col min="100" max="100" width="30.5" style="191" customWidth="1"/>
    <col min="101" max="101" width="28.5" style="191" customWidth="1"/>
    <col min="102" max="102" width="27.1640625" style="191" customWidth="1"/>
    <col min="103" max="103" width="18.5" style="191" customWidth="1"/>
    <col min="104" max="104" width="21.5" style="191" customWidth="1"/>
    <col min="105" max="105" width="18.33203125" style="191" customWidth="1"/>
    <col min="106" max="106" width="17.5" style="191" customWidth="1"/>
    <col min="107" max="107" width="33.5" style="191" customWidth="1"/>
    <col min="108" max="108" width="32.1640625" style="191" customWidth="1"/>
    <col min="109" max="109" width="31.33203125" style="191" customWidth="1"/>
    <col min="110" max="110" width="16.83203125" style="191" customWidth="1"/>
    <col min="111" max="112" width="12" style="191" customWidth="1"/>
    <col min="113" max="113" width="21.83203125" style="191" customWidth="1"/>
    <col min="114" max="114" width="21.5" style="191" customWidth="1"/>
    <col min="115" max="115" width="13.1640625" style="191" customWidth="1"/>
    <col min="116" max="116" width="13.33203125" style="191" customWidth="1"/>
    <col min="117" max="117" width="13.5" style="191" customWidth="1"/>
    <col min="118" max="118" width="12.5" style="191" customWidth="1"/>
    <col min="119" max="119" width="14.6640625" style="191" customWidth="1"/>
    <col min="120" max="120" width="16.6640625" style="191" customWidth="1"/>
    <col min="121" max="121" width="20.5" style="191" customWidth="1"/>
    <col min="122" max="122" width="15.5" style="191" customWidth="1"/>
    <col min="123" max="123" width="15" style="191" customWidth="1"/>
    <col min="124" max="124" width="15.5" style="191" customWidth="1"/>
    <col min="125" max="125" width="14.6640625" style="191" customWidth="1"/>
    <col min="126" max="126" width="20.5" style="191" customWidth="1"/>
    <col min="127" max="127" width="34.5" style="191" customWidth="1"/>
    <col min="128" max="128" width="10.6640625" style="191" customWidth="1"/>
    <col min="129" max="129" width="10.5" style="191" customWidth="1"/>
    <col min="130" max="130" width="12.5" style="191" customWidth="1"/>
    <col min="131" max="131" width="8.33203125" style="191" customWidth="1"/>
    <col min="132" max="132" width="18.1640625" style="191" customWidth="1"/>
    <col min="133" max="133" width="15.83203125" style="191" customWidth="1"/>
    <col min="134" max="134" width="3.5" style="191" customWidth="1"/>
    <col min="135" max="135" width="22.5" style="191" customWidth="1"/>
    <col min="136" max="136" width="15" style="191" customWidth="1"/>
    <col min="137" max="137" width="8.33203125" style="191" customWidth="1"/>
    <col min="138" max="138" width="10.5" style="191" customWidth="1"/>
    <col min="139" max="139" width="9.83203125" style="191" customWidth="1"/>
    <col min="140" max="140" width="13.33203125" style="191" customWidth="1"/>
    <col min="141" max="141" width="8.6640625" style="191" customWidth="1"/>
    <col min="142" max="142" width="19.33203125" style="191" customWidth="1"/>
    <col min="143" max="143" width="19" style="191" customWidth="1"/>
    <col min="144" max="144" width="14.5" style="191" customWidth="1"/>
    <col min="145" max="145" width="19.33203125" style="191" customWidth="1"/>
    <col min="146" max="146" width="19" style="191" customWidth="1"/>
    <col min="147" max="147" width="14.5" style="191" customWidth="1"/>
    <col min="148" max="148" width="19.33203125" style="191" customWidth="1"/>
    <col min="149" max="149" width="19" style="191" customWidth="1"/>
    <col min="150" max="150" width="14.5" style="191" customWidth="1"/>
    <col min="151" max="151" width="19.33203125" style="191" customWidth="1"/>
    <col min="152" max="152" width="19" style="191" customWidth="1"/>
    <col min="153" max="153" width="14.5" style="191" customWidth="1"/>
    <col min="154" max="154" width="19.33203125" style="191" customWidth="1"/>
    <col min="155" max="155" width="19" style="191" customWidth="1"/>
    <col min="156" max="156" width="14.5" style="191" customWidth="1"/>
    <col min="157" max="157" width="19.33203125" style="191" customWidth="1"/>
    <col min="158" max="158" width="19" style="191" customWidth="1"/>
    <col min="159" max="159" width="14.5" style="191" customWidth="1"/>
    <col min="160" max="160" width="19.33203125" style="191" customWidth="1"/>
    <col min="161" max="161" width="19" style="191" customWidth="1"/>
    <col min="162" max="162" width="14.5" style="191" customWidth="1"/>
    <col min="163" max="163" width="19.33203125" style="191" customWidth="1"/>
    <col min="164" max="164" width="19" style="191" customWidth="1"/>
    <col min="165" max="165" width="14.5" style="191" customWidth="1"/>
    <col min="166" max="166" width="19.33203125" style="191" customWidth="1"/>
    <col min="167" max="167" width="19" style="191" customWidth="1"/>
    <col min="168" max="168" width="14.5" style="191" customWidth="1"/>
    <col min="169" max="169" width="7.83203125" style="191" customWidth="1"/>
    <col min="170" max="178" width="8.83203125" style="191" customWidth="1"/>
    <col min="179" max="179" width="8.33203125" style="191" customWidth="1"/>
    <col min="180" max="180" width="15" style="191" customWidth="1"/>
    <col min="181" max="181" width="9.33203125" style="191" customWidth="1"/>
    <col min="182" max="182" width="8.1640625" style="191" customWidth="1"/>
    <col min="183" max="183" width="22.5" style="191" customWidth="1"/>
    <col min="184" max="184" width="19" style="191" customWidth="1"/>
    <col min="185" max="185" width="14.1640625" style="191" customWidth="1"/>
    <col min="186" max="186" width="13.83203125" style="191" customWidth="1"/>
    <col min="187" max="16384" width="9.1640625" style="191"/>
  </cols>
  <sheetData>
    <row r="1" spans="1:186">
      <c r="A1" t="s" s="191">
        <v>1490</v>
      </c>
      <c r="B1" t="s" s="246">
        <v>1631</v>
      </c>
      <c r="C1" t="s" s="246">
        <v>1462</v>
      </c>
      <c r="D1" t="s" s="246">
        <v>1522</v>
      </c>
      <c r="E1" s="246"/>
      <c r="F1" s="246"/>
      <c r="G1" s="246"/>
      <c r="H1" s="246"/>
      <c r="I1" s="246"/>
      <c r="J1" s="246"/>
      <c r="K1" s="246"/>
      <c r="L1" s="246"/>
      <c r="M1" s="246"/>
      <c r="N1" s="246"/>
      <c r="O1" s="246"/>
      <c r="P1" s="246"/>
      <c r="Q1" s="246"/>
      <c r="R1" s="246"/>
      <c r="S1" s="246"/>
      <c r="T1" s="246"/>
      <c r="U1" s="246"/>
      <c r="V1" s="246"/>
      <c r="W1" s="246"/>
      <c r="X1" s="246"/>
      <c r="Y1" s="246"/>
      <c r="Z1" s="246"/>
      <c r="AA1" s="246"/>
      <c r="AB1" s="246"/>
      <c r="AC1" s="246"/>
      <c r="AD1" s="246"/>
      <c r="AE1" s="246"/>
      <c r="AF1" s="246"/>
      <c r="AG1" s="246"/>
      <c r="AH1" s="246"/>
      <c r="AI1" s="246"/>
      <c r="AJ1" s="246"/>
      <c r="AK1" s="246"/>
      <c r="AL1" s="246"/>
      <c r="AM1" s="246"/>
      <c r="AN1" s="246"/>
      <c r="AO1" s="246"/>
      <c r="AP1" s="246"/>
      <c r="AQ1" s="246"/>
      <c r="AR1" s="246"/>
      <c r="AS1" s="246"/>
      <c r="AT1" s="246"/>
      <c r="AU1" s="246"/>
      <c r="AV1" s="246"/>
      <c r="AW1" s="246"/>
      <c r="AX1" s="246"/>
      <c r="AY1" s="246"/>
      <c r="AZ1" s="246"/>
      <c r="BA1" s="246"/>
      <c r="BB1" s="246"/>
      <c r="BC1" s="246"/>
      <c r="BD1" s="246"/>
      <c r="BE1" s="246"/>
      <c r="BF1" s="246"/>
      <c r="BG1" s="246"/>
      <c r="BH1" s="246"/>
      <c r="BI1" s="246"/>
      <c r="BJ1" s="246"/>
      <c r="BK1" s="246"/>
      <c r="BL1" s="246"/>
      <c r="BM1" s="246"/>
      <c r="BN1" s="246"/>
      <c r="BO1" s="246"/>
      <c r="BP1" s="246"/>
      <c r="BQ1" s="246"/>
      <c r="BR1" s="246"/>
      <c r="BS1" s="246"/>
      <c r="BT1" s="246"/>
      <c r="BU1" s="246"/>
      <c r="BV1" s="246"/>
      <c r="BW1" s="246"/>
      <c r="BX1" s="246"/>
      <c r="BY1" s="246"/>
      <c r="BZ1" s="246"/>
      <c r="CA1" s="246"/>
      <c r="CB1" s="246"/>
      <c r="CC1" s="246"/>
      <c r="CD1" s="246"/>
      <c r="CE1" s="246"/>
      <c r="CF1" s="246"/>
      <c r="CG1" s="246"/>
      <c r="CH1" s="246"/>
      <c r="CI1" s="246"/>
      <c r="CJ1" s="246"/>
      <c r="CK1" s="246"/>
      <c r="CL1" s="246"/>
      <c r="CM1" s="246"/>
      <c r="CN1" s="246"/>
      <c r="CO1" s="246"/>
      <c r="CP1" s="246"/>
      <c r="CQ1" s="246"/>
      <c r="CR1" s="246"/>
      <c r="CS1" s="246"/>
      <c r="CT1" s="246"/>
      <c r="CU1" s="246"/>
      <c r="CV1" s="246"/>
      <c r="CW1" s="246"/>
      <c r="CX1" s="246"/>
      <c r="CY1" s="246"/>
      <c r="CZ1" s="246"/>
      <c r="DA1" s="246"/>
      <c r="DB1" s="246"/>
      <c r="DC1" s="246"/>
      <c r="DD1" s="246"/>
      <c r="DE1" s="246"/>
      <c r="DF1" s="246"/>
      <c r="DG1" s="246"/>
      <c r="DH1" s="246"/>
      <c r="DI1" s="246"/>
      <c r="DJ1" s="246"/>
      <c r="DK1" s="246"/>
      <c r="DL1" s="246"/>
      <c r="DM1" s="246"/>
      <c r="DN1" s="246"/>
      <c r="DO1" s="246"/>
      <c r="DP1" s="246"/>
      <c r="DQ1" s="246"/>
      <c r="DR1" s="246"/>
      <c r="DS1" s="246"/>
      <c r="DT1" s="246"/>
      <c r="DU1" s="246"/>
      <c r="DV1" s="246"/>
      <c r="DW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46"/>
      <c r="EY1" s="246"/>
      <c r="EZ1" s="246"/>
      <c r="FA1" s="246"/>
      <c r="FB1" s="246"/>
      <c r="FC1" s="246"/>
      <c r="FD1" s="246"/>
      <c r="FE1" s="246"/>
      <c r="FF1" s="246"/>
      <c r="FG1" s="246"/>
      <c r="FH1" s="246"/>
      <c r="FI1" s="246"/>
      <c r="FJ1" s="246"/>
      <c r="FK1" s="246"/>
      <c r="FL1" s="246"/>
      <c r="FM1" s="246"/>
      <c r="FN1" s="246"/>
      <c r="FO1" s="246"/>
      <c r="FP1" s="246"/>
      <c r="FQ1" s="246"/>
      <c r="FR1" s="246"/>
      <c r="FS1" s="246"/>
      <c r="FT1" s="246"/>
      <c r="FU1" s="246"/>
      <c r="FV1" s="246"/>
      <c r="FW1" s="246"/>
      <c r="FX1" s="246"/>
      <c r="FY1" s="246"/>
      <c r="FZ1" s="246"/>
      <c r="GA1" s="246"/>
      <c r="GB1" s="246"/>
      <c r="GC1" s="246"/>
      <c r="GD1" s="246"/>
    </row>
    <row r="2" spans="1:186">
      <c r="A2" s="246">
        <f ca="1">OFFSET(Data!$D$1,MATCH($A$1,Data!$C:$C,0)-1,(ROUNDDOWN((ROW(A2)-2)/UDA_num,0)+1))</f>
      </c>
      <c r="B2" s="246">
        <f ca="1">OFFSET(SUD_MAP!$E$1,MATCH(MOD(ROW(B2)-2,UDA_num)+1,SUD_MAP!$E:$E,0)-1,-2)</f>
      </c>
      <c r="C2" s="246">
        <f ca="1">OFFSET(SUD_MAP!$E$1,MATCH(MOD(ROW(B2)-2,UDA_num)+1,SUD_MAP!$E:$E,0)-1,-3)</f>
      </c>
      <c r="D2" s="246">
        <f ca="1">OFFSET(Data!$E$1,MATCH(UDA!C2,Data!$C:$C,0)-1,ROUNDDOWN((ROW(A2)-2)/UDA_num,0))</f>
      </c>
      <c r="E2" s="246"/>
      <c r="F2" s="246"/>
      <c r="G2" s="246"/>
      <c r="H2" s="246"/>
      <c r="I2" s="246"/>
      <c r="J2" s="246"/>
      <c r="K2" s="246"/>
      <c r="L2" s="246"/>
      <c r="M2" s="246"/>
      <c r="N2" s="246"/>
      <c r="O2" s="246"/>
      <c r="P2" s="246"/>
      <c r="Q2" s="246"/>
      <c r="R2" s="246"/>
      <c r="S2" s="246"/>
      <c r="T2" s="246"/>
      <c r="U2" s="246"/>
      <c r="V2" s="246"/>
      <c r="W2" s="246"/>
      <c r="X2" s="246"/>
      <c r="Y2" s="246"/>
      <c r="Z2" s="246"/>
      <c r="AA2" s="246"/>
      <c r="AB2" s="246"/>
      <c r="AC2" s="246"/>
      <c r="AD2" s="246"/>
      <c r="AE2" s="246"/>
      <c r="AF2" s="246"/>
      <c r="AG2" s="246"/>
      <c r="AH2" s="246"/>
      <c r="AI2" s="246"/>
      <c r="AJ2" s="246"/>
      <c r="AK2" s="246"/>
      <c r="AL2" s="246"/>
      <c r="AM2" s="246"/>
      <c r="AN2" s="246"/>
      <c r="AO2" s="246"/>
      <c r="AP2" s="246"/>
      <c r="AQ2" s="246"/>
      <c r="AR2" s="246"/>
      <c r="AS2" s="246"/>
      <c r="AT2" s="246"/>
      <c r="AU2" s="246"/>
      <c r="AV2" s="246"/>
      <c r="AW2" s="246"/>
      <c r="AX2" s="246"/>
      <c r="AY2" s="246"/>
      <c r="AZ2" s="246"/>
      <c r="BA2" s="246"/>
      <c r="BB2" s="246"/>
      <c r="BC2" s="246"/>
      <c r="BD2" s="246"/>
      <c r="BE2" s="246"/>
      <c r="BF2" s="246"/>
      <c r="BG2" s="246"/>
      <c r="BH2" s="246"/>
      <c r="BI2" s="246"/>
      <c r="BJ2" s="246"/>
      <c r="BK2" s="246"/>
      <c r="BL2" s="246"/>
      <c r="BM2" s="246"/>
      <c r="BN2" s="246"/>
      <c r="BO2" s="246"/>
      <c r="BP2" s="246"/>
      <c r="BQ2" s="246"/>
      <c r="BR2" s="246"/>
      <c r="BS2" s="246"/>
      <c r="BT2" s="246"/>
      <c r="BU2" s="246"/>
      <c r="BV2" s="246"/>
      <c r="BW2" s="246"/>
      <c r="BX2" s="246"/>
      <c r="BY2" s="246"/>
      <c r="BZ2" s="246"/>
      <c r="CA2" s="246"/>
      <c r="CB2" s="246"/>
      <c r="CC2" s="246"/>
      <c r="CD2" s="246"/>
      <c r="CE2" s="246"/>
      <c r="CF2" s="246"/>
      <c r="CG2" s="246"/>
      <c r="CH2" s="246"/>
      <c r="CI2" s="246"/>
      <c r="CJ2" s="246"/>
      <c r="CK2" s="246"/>
      <c r="CL2" s="246"/>
      <c r="CM2" s="246"/>
      <c r="CN2" s="246"/>
      <c r="CO2" s="246"/>
      <c r="CP2" s="246"/>
      <c r="CQ2" s="246"/>
      <c r="CR2" s="246"/>
      <c r="CS2" s="246"/>
      <c r="CT2" s="246"/>
      <c r="CU2" s="246"/>
      <c r="CV2" s="246"/>
      <c r="CW2" s="246"/>
      <c r="CX2" s="246"/>
      <c r="CY2" s="246"/>
      <c r="CZ2" s="246"/>
      <c r="DA2" s="246"/>
      <c r="DB2" s="246"/>
      <c r="DC2" s="246"/>
      <c r="DD2" s="246"/>
      <c r="DE2" s="246"/>
      <c r="DF2" s="246"/>
      <c r="DG2" s="246"/>
      <c r="DH2" s="246"/>
      <c r="DI2" s="246"/>
      <c r="DJ2" s="246"/>
      <c r="DK2" s="246"/>
      <c r="DL2" s="246"/>
      <c r="DM2" s="246"/>
      <c r="DN2" s="246"/>
      <c r="DO2" s="246"/>
      <c r="DP2" s="246"/>
      <c r="DQ2" s="246"/>
      <c r="DR2" s="246"/>
      <c r="DS2" s="246"/>
      <c r="DT2" s="246"/>
      <c r="DU2" s="246"/>
      <c r="DV2" s="246"/>
      <c r="DW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46"/>
      <c r="EY2" s="246"/>
      <c r="EZ2" s="246"/>
      <c r="FA2" s="246"/>
      <c r="FB2" s="246"/>
      <c r="FC2" s="246"/>
      <c r="FD2" s="246"/>
      <c r="FE2" s="246"/>
      <c r="FF2" s="246"/>
      <c r="FG2" s="246"/>
      <c r="FH2" s="246"/>
      <c r="FI2" s="246"/>
      <c r="FJ2" s="246"/>
      <c r="FK2" s="246"/>
      <c r="FL2" s="246"/>
      <c r="FM2" s="246"/>
      <c r="FN2" s="246"/>
      <c r="FO2" s="246"/>
      <c r="FP2" s="246"/>
      <c r="FQ2" s="246"/>
      <c r="FR2" s="246"/>
      <c r="FS2" s="246"/>
      <c r="FT2" s="246"/>
      <c r="FU2" s="246"/>
      <c r="FV2" s="246"/>
      <c r="FW2" s="246"/>
      <c r="FX2" s="246"/>
      <c r="FY2" s="246"/>
      <c r="FZ2" s="246"/>
      <c r="GA2" s="246"/>
      <c r="GB2" s="246"/>
      <c r="GC2" s="246"/>
      <c r="GD2" s="246"/>
    </row>
    <row r="3" spans="1:186">
      <c r="A3" s="246"/>
      <c r="B3" s="246"/>
      <c r="C3" s="246"/>
      <c r="D3" s="246"/>
      <c r="E3" s="246"/>
      <c r="F3" s="246"/>
      <c r="G3" s="246"/>
      <c r="H3" s="246"/>
      <c r="I3" s="246"/>
      <c r="J3" s="246"/>
      <c r="K3" s="246"/>
      <c r="L3" s="246"/>
      <c r="M3" s="246"/>
      <c r="N3" s="246"/>
      <c r="O3" s="246"/>
      <c r="P3" s="246"/>
      <c r="Q3" s="246"/>
      <c r="R3" s="246"/>
      <c r="S3" s="246"/>
      <c r="T3" s="246"/>
      <c r="U3" s="246"/>
      <c r="V3" s="246"/>
      <c r="W3" s="246"/>
      <c r="X3" s="246"/>
      <c r="Y3" s="246"/>
      <c r="Z3" s="246"/>
      <c r="AA3" s="246"/>
      <c r="AB3" s="246"/>
      <c r="AC3" s="246"/>
      <c r="AD3" s="246"/>
      <c r="AE3" s="246"/>
      <c r="AF3" s="246"/>
      <c r="AG3" s="246"/>
      <c r="AH3" s="246"/>
      <c r="AI3" s="246"/>
      <c r="AJ3" s="246"/>
      <c r="AK3" s="246"/>
      <c r="AL3" s="246"/>
      <c r="AM3" s="246"/>
      <c r="AN3" s="246"/>
      <c r="AO3" s="246"/>
      <c r="AP3" s="246"/>
      <c r="AQ3" s="246"/>
      <c r="AR3" s="246"/>
      <c r="AS3" s="246"/>
      <c r="AT3" s="246"/>
      <c r="AU3" s="246"/>
      <c r="AV3" s="246"/>
      <c r="AW3" s="246"/>
      <c r="AX3" s="246"/>
      <c r="AY3" s="246"/>
      <c r="AZ3" s="246"/>
      <c r="BA3" s="246"/>
      <c r="BB3" s="246"/>
      <c r="BC3" s="246"/>
      <c r="BD3" s="246"/>
      <c r="BE3" s="246"/>
      <c r="BF3" s="246"/>
      <c r="BG3" s="246"/>
      <c r="BH3" s="246"/>
      <c r="BI3" s="246"/>
      <c r="BJ3" s="246"/>
      <c r="BK3" s="246"/>
      <c r="BL3" s="246"/>
      <c r="BM3" s="246"/>
      <c r="BN3" s="246"/>
      <c r="BO3" s="246"/>
      <c r="BP3" s="246"/>
      <c r="BQ3" s="246"/>
      <c r="BR3" s="246"/>
      <c r="BS3" s="246"/>
      <c r="BT3" s="246"/>
      <c r="BU3" s="246"/>
      <c r="BV3" s="246"/>
      <c r="BW3" s="246"/>
      <c r="BX3" s="246"/>
      <c r="BY3" s="246"/>
      <c r="BZ3" s="246"/>
      <c r="CA3" s="246"/>
      <c r="CB3" s="246"/>
      <c r="CC3" s="246"/>
      <c r="CD3" s="246"/>
      <c r="CE3" s="246"/>
      <c r="CF3" s="246"/>
      <c r="CG3" s="246"/>
      <c r="CH3" s="246"/>
      <c r="CI3" s="246"/>
      <c r="CJ3" s="246"/>
      <c r="CK3" s="246"/>
      <c r="CL3" s="246"/>
      <c r="CM3" s="246"/>
      <c r="CN3" s="246"/>
      <c r="CO3" s="246"/>
      <c r="CP3" s="246"/>
      <c r="CQ3" s="246"/>
      <c r="CR3" s="246"/>
      <c r="CS3" s="246"/>
      <c r="CT3" s="246"/>
      <c r="CU3" s="246"/>
      <c r="CV3" s="246"/>
      <c r="CW3" s="246"/>
      <c r="CX3" s="246"/>
      <c r="CY3" s="246"/>
      <c r="CZ3" s="246"/>
      <c r="DA3" s="246"/>
      <c r="DB3" s="246"/>
      <c r="DC3" s="246"/>
      <c r="DD3" s="246"/>
      <c r="DE3" s="246"/>
      <c r="DF3" s="246"/>
      <c r="DG3" s="246"/>
      <c r="DH3" s="246"/>
      <c r="DI3" s="246"/>
      <c r="DJ3" s="246"/>
      <c r="DK3" s="246"/>
      <c r="DL3" s="246"/>
      <c r="DM3" s="246"/>
      <c r="DN3" s="246"/>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46"/>
      <c r="EY3" s="246"/>
      <c r="EZ3" s="246"/>
      <c r="FA3" s="246"/>
      <c r="FB3" s="246"/>
      <c r="FC3" s="246"/>
      <c r="FD3" s="246"/>
      <c r="FE3" s="246"/>
      <c r="FF3" s="246"/>
      <c r="FG3" s="246"/>
      <c r="FH3" s="246"/>
      <c r="FI3" s="246"/>
      <c r="FJ3" s="246"/>
      <c r="FK3" s="246"/>
      <c r="FL3" s="246"/>
      <c r="FM3" s="246"/>
      <c r="FN3" s="246"/>
      <c r="FO3" s="246"/>
      <c r="FP3" s="246"/>
      <c r="FQ3" s="246"/>
      <c r="FR3" s="246"/>
      <c r="FS3" s="246"/>
      <c r="FT3" s="246"/>
      <c r="FU3" s="246"/>
      <c r="FV3" s="246"/>
      <c r="FW3" s="246"/>
      <c r="FX3" s="246"/>
      <c r="FY3" s="246"/>
      <c r="FZ3" s="246"/>
      <c r="GA3" s="246"/>
      <c r="GB3" s="246"/>
      <c r="GC3" s="246"/>
      <c r="GD3" s="246"/>
    </row>
    <row r="4" spans="1:186">
      <c r="A4" s="246"/>
      <c r="B4" s="246"/>
      <c r="C4" s="246"/>
      <c r="D4" s="246"/>
      <c r="E4" s="246"/>
      <c r="F4" s="246"/>
      <c r="G4" s="246"/>
      <c r="H4" s="246"/>
      <c r="I4" s="246"/>
      <c r="J4" s="246"/>
      <c r="K4" s="246"/>
      <c r="L4" s="246"/>
      <c r="M4" s="246"/>
      <c r="N4" s="246"/>
      <c r="O4" s="246"/>
      <c r="P4" s="246"/>
      <c r="Q4" s="246"/>
      <c r="R4" s="246"/>
      <c r="S4" s="246"/>
      <c r="T4" s="246"/>
      <c r="U4" s="246"/>
      <c r="V4" s="246"/>
      <c r="W4" s="246"/>
      <c r="X4" s="246"/>
      <c r="Y4" s="246"/>
      <c r="Z4" s="246"/>
      <c r="AA4" s="246"/>
      <c r="AB4" s="246"/>
      <c r="AC4" s="246"/>
      <c r="AD4" s="246"/>
      <c r="AE4" s="246"/>
      <c r="AF4" s="246"/>
      <c r="AG4" s="246"/>
      <c r="AH4" s="246"/>
      <c r="AI4" s="246"/>
      <c r="AJ4" s="246"/>
      <c r="AK4" s="246"/>
      <c r="AL4" s="246"/>
      <c r="AM4" s="246"/>
      <c r="AN4" s="246"/>
      <c r="AO4" s="246"/>
      <c r="AP4" s="246"/>
      <c r="AQ4" s="246"/>
      <c r="AR4" s="246"/>
      <c r="AS4" s="246"/>
      <c r="AT4" s="246"/>
      <c r="AU4" s="246"/>
      <c r="AV4" s="246"/>
      <c r="AW4" s="246"/>
      <c r="AX4" s="246"/>
      <c r="AY4" s="246"/>
      <c r="AZ4" s="246"/>
      <c r="BA4" s="246"/>
      <c r="BB4" s="246"/>
      <c r="BC4" s="246"/>
      <c r="BD4" s="246"/>
      <c r="BE4" s="246"/>
      <c r="BF4" s="246"/>
      <c r="BG4" s="246"/>
      <c r="BH4" s="246"/>
      <c r="BI4" s="246"/>
      <c r="BJ4" s="246"/>
      <c r="BK4" s="246"/>
      <c r="BL4" s="246"/>
      <c r="BM4" s="246"/>
      <c r="BN4" s="246"/>
      <c r="BO4" s="246"/>
      <c r="BP4" s="246"/>
      <c r="BQ4" s="246"/>
      <c r="BR4" s="246"/>
      <c r="BS4" s="246"/>
      <c r="BT4" s="246"/>
      <c r="BU4" s="246"/>
      <c r="BV4" s="246"/>
      <c r="BW4" s="246"/>
      <c r="BX4" s="246"/>
      <c r="BY4" s="246"/>
      <c r="BZ4" s="246"/>
      <c r="CA4" s="246"/>
      <c r="CB4" s="246"/>
      <c r="CC4" s="246"/>
      <c r="CD4" s="246"/>
      <c r="CE4" s="246"/>
      <c r="CF4" s="246"/>
      <c r="CG4" s="246"/>
      <c r="CH4" s="246"/>
      <c r="CI4" s="246"/>
      <c r="CJ4" s="246"/>
      <c r="CK4" s="246"/>
      <c r="CL4" s="246"/>
      <c r="CM4" s="246"/>
      <c r="CN4" s="246"/>
      <c r="CO4" s="246"/>
      <c r="CP4" s="246"/>
      <c r="CQ4" s="246"/>
      <c r="CR4" s="246"/>
      <c r="CS4" s="246"/>
      <c r="CT4" s="246"/>
      <c r="CU4" s="246"/>
      <c r="CV4" s="246"/>
      <c r="CW4" s="246"/>
      <c r="CX4" s="246"/>
      <c r="CY4" s="246"/>
      <c r="CZ4" s="246"/>
      <c r="DA4" s="246"/>
      <c r="DB4" s="246"/>
      <c r="DC4" s="246"/>
      <c r="DD4" s="246"/>
      <c r="DE4" s="246"/>
      <c r="DF4" s="246"/>
      <c r="DG4" s="246"/>
      <c r="DH4" s="246"/>
      <c r="DI4" s="246"/>
      <c r="DJ4" s="246"/>
      <c r="DK4" s="246"/>
      <c r="DL4" s="246"/>
      <c r="DM4" s="246"/>
      <c r="DN4" s="246"/>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46"/>
      <c r="EY4" s="246"/>
      <c r="EZ4" s="246"/>
      <c r="FA4" s="246"/>
      <c r="FB4" s="246"/>
      <c r="FC4" s="246"/>
      <c r="FD4" s="246"/>
      <c r="FE4" s="246"/>
      <c r="FF4" s="246"/>
      <c r="FG4" s="246"/>
      <c r="FH4" s="246"/>
      <c r="FI4" s="246"/>
      <c r="FJ4" s="246"/>
      <c r="FK4" s="246"/>
      <c r="FL4" s="246"/>
      <c r="FM4" s="246"/>
      <c r="FN4" s="246"/>
      <c r="FO4" s="246"/>
      <c r="FP4" s="246"/>
      <c r="FQ4" s="246"/>
      <c r="FR4" s="246"/>
      <c r="FS4" s="246"/>
      <c r="FT4" s="246"/>
      <c r="FU4" s="246"/>
      <c r="FV4" s="246"/>
      <c r="FW4" s="246"/>
      <c r="FX4" s="246"/>
      <c r="FY4" s="246"/>
      <c r="FZ4" s="246"/>
      <c r="GA4" s="246"/>
      <c r="GB4" s="246"/>
      <c r="GC4" s="246"/>
      <c r="GD4" s="246"/>
    </row>
    <row r="5" spans="1:186">
      <c r="A5" s="246"/>
      <c r="B5" s="246"/>
      <c r="C5" s="246"/>
      <c r="D5" s="246"/>
      <c r="E5" s="246"/>
      <c r="F5" s="246"/>
      <c r="G5" s="246"/>
      <c r="H5" s="246"/>
      <c r="I5" s="246"/>
      <c r="J5" s="246"/>
      <c r="K5" s="246"/>
      <c r="L5" s="246"/>
      <c r="M5" s="246"/>
      <c r="N5" s="246"/>
      <c r="O5" s="246"/>
      <c r="P5" s="246"/>
      <c r="Q5" s="246"/>
      <c r="R5" s="246"/>
      <c r="S5" s="246"/>
      <c r="T5" s="246"/>
      <c r="U5" s="246"/>
      <c r="V5" s="246"/>
      <c r="W5" s="246"/>
      <c r="X5" s="246"/>
      <c r="Y5" s="246"/>
      <c r="Z5" s="246"/>
      <c r="AA5" s="246"/>
      <c r="AB5" s="246"/>
      <c r="AC5" s="246"/>
      <c r="AD5" s="246"/>
      <c r="AE5" s="246"/>
      <c r="AF5" s="246"/>
      <c r="AG5" s="246"/>
      <c r="AH5" s="246"/>
      <c r="AI5" s="246"/>
      <c r="AJ5" s="246"/>
      <c r="AK5" s="246"/>
      <c r="AL5" s="246"/>
      <c r="AM5" s="246"/>
      <c r="AN5" s="246"/>
      <c r="AO5" s="246"/>
      <c r="AP5" s="246"/>
      <c r="AQ5" s="246"/>
      <c r="AR5" s="246"/>
      <c r="AS5" s="246"/>
      <c r="AT5" s="246"/>
      <c r="AU5" s="246"/>
      <c r="AV5" s="246"/>
      <c r="AW5" s="246"/>
      <c r="AX5" s="246"/>
      <c r="AY5" s="246"/>
      <c r="AZ5" s="246"/>
      <c r="BA5" s="246"/>
      <c r="BB5" s="246"/>
      <c r="BC5" s="246"/>
      <c r="BD5" s="246"/>
      <c r="BE5" s="246"/>
      <c r="BF5" s="246"/>
      <c r="BG5" s="246"/>
      <c r="BH5" s="246"/>
      <c r="BI5" s="246"/>
      <c r="BJ5" s="246"/>
      <c r="BK5" s="246"/>
      <c r="BL5" s="246"/>
      <c r="BM5" s="246"/>
      <c r="BN5" s="246"/>
      <c r="BO5" s="246"/>
      <c r="BP5" s="246"/>
      <c r="BQ5" s="246"/>
      <c r="BR5" s="246"/>
      <c r="BS5" s="246"/>
      <c r="BT5" s="246"/>
      <c r="BU5" s="246"/>
      <c r="BV5" s="246"/>
      <c r="BW5" s="246"/>
      <c r="BX5" s="246"/>
      <c r="BY5" s="246"/>
      <c r="BZ5" s="246"/>
      <c r="CA5" s="246"/>
      <c r="CB5" s="246"/>
      <c r="CC5" s="246"/>
      <c r="CD5" s="246"/>
      <c r="CE5" s="246"/>
      <c r="CF5" s="246"/>
      <c r="CG5" s="246"/>
      <c r="CH5" s="246"/>
      <c r="CI5" s="246"/>
      <c r="CJ5" s="246"/>
      <c r="CK5" s="246"/>
      <c r="CL5" s="246"/>
      <c r="CM5" s="246"/>
      <c r="CN5" s="246"/>
      <c r="CO5" s="246"/>
      <c r="CP5" s="246"/>
      <c r="CQ5" s="246"/>
      <c r="CR5" s="246"/>
      <c r="CS5" s="246"/>
      <c r="CT5" s="246"/>
      <c r="CU5" s="246"/>
      <c r="CV5" s="246"/>
      <c r="CW5" s="246"/>
      <c r="CX5" s="246"/>
      <c r="CY5" s="246"/>
      <c r="CZ5" s="246"/>
      <c r="DA5" s="246"/>
      <c r="DB5" s="246"/>
      <c r="DC5" s="246"/>
      <c r="DD5" s="246"/>
      <c r="DE5" s="246"/>
      <c r="DF5" s="246"/>
      <c r="DG5" s="246"/>
      <c r="DH5" s="246"/>
      <c r="DI5" s="246"/>
      <c r="DJ5" s="246"/>
      <c r="DK5" s="246"/>
      <c r="DL5" s="246"/>
      <c r="DM5" s="246"/>
      <c r="DN5" s="246"/>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46"/>
      <c r="EY5" s="246"/>
      <c r="EZ5" s="246"/>
      <c r="FA5" s="246"/>
      <c r="FB5" s="246"/>
      <c r="FC5" s="246"/>
      <c r="FD5" s="246"/>
      <c r="FE5" s="246"/>
      <c r="FF5" s="246"/>
      <c r="FG5" s="246"/>
      <c r="FH5" s="246"/>
      <c r="FI5" s="246"/>
      <c r="FJ5" s="246"/>
      <c r="FK5" s="246"/>
      <c r="FL5" s="246"/>
      <c r="FM5" s="246"/>
      <c r="FN5" s="246"/>
      <c r="FO5" s="246"/>
      <c r="FP5" s="246"/>
      <c r="FQ5" s="246"/>
      <c r="FR5" s="246"/>
      <c r="FS5" s="246"/>
      <c r="FT5" s="246"/>
      <c r="FU5" s="246"/>
      <c r="FV5" s="246"/>
      <c r="FW5" s="246"/>
      <c r="FX5" s="246"/>
      <c r="FY5" s="246"/>
      <c r="FZ5" s="246"/>
      <c r="GA5" s="246"/>
      <c r="GB5" s="246"/>
      <c r="GC5" s="246"/>
      <c r="GD5" s="246"/>
    </row>
    <row r="6" spans="1:186">
      <c r="A6" s="246"/>
      <c r="B6" s="246"/>
      <c r="C6" s="246"/>
      <c r="D6" s="246"/>
      <c r="E6" s="246"/>
      <c r="F6" s="246"/>
      <c r="G6" s="246"/>
      <c r="H6" s="246"/>
      <c r="I6" s="246"/>
      <c r="J6" s="246"/>
      <c r="K6" s="246"/>
      <c r="L6" s="246"/>
      <c r="M6" s="246"/>
      <c r="N6" s="246"/>
      <c r="O6" s="246"/>
      <c r="P6" s="246"/>
      <c r="Q6" s="246"/>
      <c r="R6" s="246"/>
      <c r="S6" s="246"/>
      <c r="T6" s="246"/>
      <c r="U6" s="246"/>
      <c r="V6" s="246"/>
      <c r="W6" s="246"/>
      <c r="X6" s="246"/>
      <c r="Y6" s="246"/>
      <c r="Z6" s="246"/>
      <c r="AA6" s="246"/>
      <c r="AB6" s="246"/>
      <c r="AC6" s="246"/>
      <c r="AD6" s="246"/>
      <c r="AE6" s="246"/>
      <c r="AF6" s="246"/>
      <c r="AG6" s="246"/>
      <c r="AH6" s="246"/>
      <c r="AI6" s="246"/>
      <c r="AJ6" s="246"/>
      <c r="AK6" s="246"/>
      <c r="AL6" s="246"/>
      <c r="AM6" s="246"/>
      <c r="AN6" s="246"/>
      <c r="AO6" s="246"/>
      <c r="AP6" s="246"/>
      <c r="AQ6" s="246"/>
      <c r="AR6" s="246"/>
      <c r="AS6" s="246"/>
      <c r="AT6" s="246"/>
      <c r="AU6" s="246"/>
      <c r="AV6" s="246"/>
      <c r="AW6" s="246"/>
      <c r="AX6" s="246"/>
      <c r="AY6" s="246"/>
      <c r="AZ6" s="246"/>
      <c r="BA6" s="246"/>
      <c r="BB6" s="246"/>
      <c r="BC6" s="246"/>
      <c r="BD6" s="246"/>
      <c r="BE6" s="246"/>
      <c r="BF6" s="246"/>
      <c r="BG6" s="246"/>
      <c r="BH6" s="246"/>
      <c r="BI6" s="246"/>
      <c r="BJ6" s="246"/>
      <c r="BK6" s="246"/>
      <c r="BL6" s="246"/>
      <c r="BM6" s="246"/>
      <c r="BN6" s="246"/>
      <c r="BO6" s="246"/>
      <c r="BP6" s="246"/>
      <c r="BQ6" s="246"/>
      <c r="BR6" s="246"/>
      <c r="BS6" s="246"/>
      <c r="BT6" s="246"/>
      <c r="BU6" s="246"/>
      <c r="BV6" s="246"/>
      <c r="BW6" s="246"/>
      <c r="BX6" s="246"/>
      <c r="BY6" s="246"/>
      <c r="BZ6" s="246"/>
      <c r="CA6" s="246"/>
      <c r="CB6" s="246"/>
      <c r="CC6" s="246"/>
      <c r="CD6" s="246"/>
      <c r="CE6" s="246"/>
      <c r="CF6" s="246"/>
      <c r="CG6" s="246"/>
      <c r="CH6" s="246"/>
      <c r="CI6" s="246"/>
      <c r="CJ6" s="246"/>
      <c r="CK6" s="246"/>
      <c r="CL6" s="246"/>
      <c r="CM6" s="246"/>
      <c r="CN6" s="246"/>
      <c r="CO6" s="246"/>
      <c r="CP6" s="246"/>
      <c r="CQ6" s="246"/>
      <c r="CR6" s="246"/>
      <c r="CS6" s="246"/>
      <c r="CT6" s="246"/>
      <c r="CU6" s="246"/>
      <c r="CV6" s="246"/>
      <c r="CW6" s="246"/>
      <c r="CX6" s="246"/>
      <c r="CY6" s="246"/>
      <c r="CZ6" s="246"/>
      <c r="DA6" s="246"/>
      <c r="DB6" s="246"/>
      <c r="DC6" s="246"/>
      <c r="DD6" s="246"/>
      <c r="DE6" s="246"/>
      <c r="DF6" s="246"/>
      <c r="DG6" s="246"/>
      <c r="DH6" s="246"/>
      <c r="DI6" s="246"/>
      <c r="DJ6" s="246"/>
      <c r="DK6" s="246"/>
      <c r="DL6" s="246"/>
      <c r="DM6" s="246"/>
      <c r="DN6" s="246"/>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246"/>
      <c r="EY6" s="246"/>
      <c r="EZ6" s="246"/>
      <c r="FA6" s="246"/>
      <c r="FB6" s="246"/>
      <c r="FC6" s="246"/>
      <c r="FD6" s="246"/>
      <c r="FE6" s="246"/>
      <c r="FF6" s="246"/>
      <c r="FG6" s="246"/>
      <c r="FH6" s="246"/>
      <c r="FI6" s="246"/>
      <c r="FJ6" s="246"/>
      <c r="FK6" s="246"/>
      <c r="FL6" s="246"/>
      <c r="FM6" s="246"/>
      <c r="FN6" s="246"/>
      <c r="FO6" s="246"/>
      <c r="FP6" s="246"/>
      <c r="FQ6" s="246"/>
      <c r="FR6" s="246"/>
      <c r="FS6" s="246"/>
      <c r="FT6" s="246"/>
      <c r="FU6" s="246"/>
      <c r="FV6" s="246"/>
      <c r="FW6" s="246"/>
      <c r="FX6" s="246"/>
      <c r="FY6" s="246"/>
      <c r="FZ6" s="246"/>
      <c r="GA6" s="246"/>
      <c r="GB6" s="246"/>
      <c r="GC6" s="246"/>
      <c r="GD6" s="246"/>
    </row>
    <row r="7" spans="1:186">
      <c r="A7" s="246"/>
      <c r="B7" s="246"/>
      <c r="C7" s="246"/>
      <c r="D7" s="246"/>
      <c r="E7" s="246"/>
      <c r="F7" s="246"/>
      <c r="G7" s="246"/>
      <c r="H7" s="246"/>
      <c r="I7" s="246"/>
      <c r="J7" s="246"/>
      <c r="K7" s="246"/>
      <c r="L7" s="246"/>
      <c r="M7" s="246"/>
      <c r="N7" s="246"/>
      <c r="O7" s="246"/>
      <c r="P7" s="246"/>
      <c r="Q7" s="246"/>
      <c r="R7" s="246"/>
      <c r="S7" s="246"/>
      <c r="T7" s="246"/>
      <c r="U7" s="246"/>
      <c r="V7" s="246"/>
      <c r="W7" s="246"/>
      <c r="X7" s="246"/>
      <c r="Y7" s="246"/>
      <c r="Z7" s="246"/>
      <c r="AA7" s="246"/>
      <c r="AB7" s="246"/>
      <c r="AC7" s="246"/>
      <c r="AD7" s="246"/>
      <c r="AE7" s="246"/>
      <c r="AF7" s="246"/>
      <c r="AG7" s="246"/>
      <c r="AH7" s="246"/>
      <c r="AI7" s="246"/>
      <c r="AJ7" s="246"/>
      <c r="AK7" s="246"/>
      <c r="AL7" s="246"/>
      <c r="AM7" s="246"/>
      <c r="AN7" s="246"/>
      <c r="AO7" s="246"/>
      <c r="AP7" s="246"/>
      <c r="AQ7" s="246"/>
      <c r="AR7" s="246"/>
      <c r="AS7" s="246"/>
      <c r="AT7" s="246"/>
      <c r="AU7" s="246"/>
      <c r="AV7" s="246"/>
      <c r="AW7" s="246"/>
      <c r="AX7" s="246"/>
      <c r="AY7" s="246"/>
      <c r="AZ7" s="246"/>
      <c r="BA7" s="246"/>
      <c r="BB7" s="246"/>
      <c r="BC7" s="246"/>
      <c r="BD7" s="246"/>
      <c r="BE7" s="246"/>
      <c r="BF7" s="246"/>
      <c r="BG7" s="246"/>
      <c r="BH7" s="246"/>
      <c r="BI7" s="246"/>
      <c r="BJ7" s="246"/>
      <c r="BK7" s="246"/>
      <c r="BL7" s="246"/>
      <c r="BM7" s="246"/>
      <c r="BN7" s="246"/>
      <c r="BO7" s="246"/>
      <c r="BP7" s="246"/>
      <c r="BQ7" s="246"/>
      <c r="BR7" s="246"/>
      <c r="BS7" s="246"/>
      <c r="BT7" s="246"/>
      <c r="BU7" s="246"/>
      <c r="BV7" s="246"/>
      <c r="BW7" s="246"/>
      <c r="BX7" s="246"/>
      <c r="BY7" s="246"/>
      <c r="BZ7" s="246"/>
      <c r="CA7" s="246"/>
      <c r="CB7" s="246"/>
      <c r="CC7" s="246"/>
      <c r="CD7" s="246"/>
      <c r="CE7" s="246"/>
      <c r="CF7" s="246"/>
      <c r="CG7" s="246"/>
      <c r="CH7" s="246"/>
      <c r="CI7" s="246"/>
      <c r="CJ7" s="246"/>
      <c r="CK7" s="246"/>
      <c r="CL7" s="246"/>
      <c r="CM7" s="246"/>
      <c r="CN7" s="246"/>
      <c r="CO7" s="246"/>
      <c r="CP7" s="246"/>
      <c r="CQ7" s="246"/>
      <c r="CR7" s="246"/>
      <c r="CS7" s="246"/>
      <c r="CT7" s="246"/>
      <c r="CU7" s="246"/>
      <c r="CV7" s="246"/>
      <c r="CW7" s="246"/>
      <c r="CX7" s="246"/>
      <c r="CY7" s="246"/>
      <c r="CZ7" s="246"/>
      <c r="DA7" s="246"/>
      <c r="DB7" s="246"/>
      <c r="DC7" s="246"/>
      <c r="DD7" s="246"/>
      <c r="DE7" s="246"/>
      <c r="DF7" s="246"/>
      <c r="DG7" s="246"/>
      <c r="DH7" s="246"/>
      <c r="DI7" s="246"/>
      <c r="DJ7" s="246"/>
      <c r="DK7" s="246"/>
      <c r="DL7" s="246"/>
      <c r="DM7" s="246"/>
      <c r="DN7" s="246"/>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46"/>
      <c r="EY7" s="246"/>
      <c r="EZ7" s="246"/>
      <c r="FA7" s="246"/>
      <c r="FB7" s="246"/>
      <c r="FC7" s="246"/>
      <c r="FD7" s="246"/>
      <c r="FE7" s="246"/>
      <c r="FF7" s="246"/>
      <c r="FG7" s="246"/>
      <c r="FH7" s="246"/>
      <c r="FI7" s="246"/>
      <c r="FJ7" s="246"/>
      <c r="FK7" s="246"/>
      <c r="FL7" s="246"/>
      <c r="FM7" s="246"/>
      <c r="FN7" s="246"/>
      <c r="FO7" s="246"/>
      <c r="FP7" s="246"/>
      <c r="FQ7" s="246"/>
      <c r="FR7" s="246"/>
      <c r="FS7" s="246"/>
      <c r="FT7" s="246"/>
      <c r="FU7" s="246"/>
      <c r="FV7" s="246"/>
      <c r="FW7" s="246"/>
      <c r="FX7" s="246"/>
      <c r="FY7" s="246"/>
      <c r="FZ7" s="246"/>
      <c r="GA7" s="246"/>
      <c r="GB7" s="246"/>
      <c r="GC7" s="246"/>
      <c r="GD7" s="246"/>
    </row>
    <row r="8" spans="1:186">
      <c r="A8" s="246"/>
      <c r="B8" s="246"/>
      <c r="C8" s="246"/>
      <c r="D8" s="246"/>
      <c r="E8" s="246"/>
      <c r="F8" s="246"/>
      <c r="G8" s="246"/>
      <c r="H8" s="246"/>
      <c r="I8" s="246"/>
      <c r="J8" s="246"/>
      <c r="K8" s="246"/>
      <c r="L8" s="246"/>
      <c r="M8" s="246"/>
      <c r="N8" s="246"/>
      <c r="O8" s="246"/>
      <c r="P8" s="246"/>
      <c r="Q8" s="246"/>
      <c r="R8" s="246"/>
      <c r="S8" s="246"/>
      <c r="T8" s="246"/>
      <c r="U8" s="246"/>
      <c r="V8" s="246"/>
      <c r="W8" s="246"/>
      <c r="X8" s="246"/>
      <c r="Y8" s="246"/>
      <c r="Z8" s="246"/>
      <c r="AA8" s="246"/>
      <c r="AB8" s="246"/>
      <c r="AC8" s="246"/>
      <c r="AD8" s="246"/>
      <c r="AE8" s="246"/>
      <c r="AF8" s="246"/>
      <c r="AG8" s="246"/>
      <c r="AH8" s="246"/>
      <c r="AI8" s="246"/>
      <c r="AJ8" s="246"/>
      <c r="AK8" s="246"/>
      <c r="AL8" s="246"/>
      <c r="AM8" s="246"/>
      <c r="AN8" s="246"/>
      <c r="AO8" s="246"/>
      <c r="AP8" s="246"/>
      <c r="AQ8" s="246"/>
      <c r="AR8" s="246"/>
      <c r="AS8" s="246"/>
      <c r="AT8" s="246"/>
      <c r="AU8" s="246"/>
      <c r="AV8" s="246"/>
      <c r="AW8" s="246"/>
      <c r="AX8" s="246"/>
      <c r="AY8" s="246"/>
      <c r="AZ8" s="246"/>
      <c r="BA8" s="246"/>
      <c r="BB8" s="246"/>
      <c r="BC8" s="246"/>
      <c r="BD8" s="246"/>
      <c r="BE8" s="246"/>
      <c r="BF8" s="246"/>
      <c r="BG8" s="246"/>
      <c r="BH8" s="246"/>
      <c r="BI8" s="246"/>
      <c r="BJ8" s="246"/>
      <c r="BK8" s="246"/>
      <c r="BL8" s="246"/>
      <c r="BM8" s="246"/>
      <c r="BN8" s="246"/>
      <c r="BO8" s="246"/>
      <c r="BP8" s="246"/>
      <c r="BQ8" s="246"/>
      <c r="BR8" s="246"/>
      <c r="BS8" s="246"/>
      <c r="BT8" s="246"/>
      <c r="BU8" s="246"/>
      <c r="BV8" s="246"/>
      <c r="BW8" s="246"/>
      <c r="BX8" s="246"/>
      <c r="BY8" s="246"/>
      <c r="BZ8" s="246"/>
      <c r="CA8" s="246"/>
      <c r="CB8" s="246"/>
      <c r="CC8" s="246"/>
      <c r="CD8" s="246"/>
      <c r="CE8" s="246"/>
      <c r="CF8" s="246"/>
      <c r="CG8" s="246"/>
      <c r="CH8" s="246"/>
      <c r="CI8" s="246"/>
      <c r="CJ8" s="246"/>
      <c r="CK8" s="246"/>
      <c r="CL8" s="246"/>
      <c r="CM8" s="246"/>
      <c r="CN8" s="246"/>
      <c r="CO8" s="246"/>
      <c r="CP8" s="246"/>
      <c r="CQ8" s="246"/>
      <c r="CR8" s="246"/>
      <c r="CS8" s="246"/>
      <c r="CT8" s="246"/>
      <c r="CU8" s="246"/>
      <c r="CV8" s="246"/>
      <c r="CW8" s="246"/>
      <c r="CX8" s="246"/>
      <c r="CY8" s="246"/>
      <c r="CZ8" s="246"/>
      <c r="DA8" s="246"/>
      <c r="DB8" s="246"/>
      <c r="DC8" s="246"/>
      <c r="DD8" s="246"/>
      <c r="DE8" s="246"/>
      <c r="DF8" s="246"/>
      <c r="DG8" s="246"/>
      <c r="DH8" s="246"/>
      <c r="DI8" s="246"/>
      <c r="DJ8" s="246"/>
      <c r="DK8" s="246"/>
      <c r="DL8" s="246"/>
      <c r="DM8" s="246"/>
      <c r="DN8" s="246"/>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46"/>
      <c r="EY8" s="246"/>
      <c r="EZ8" s="246"/>
      <c r="FA8" s="246"/>
      <c r="FB8" s="246"/>
      <c r="FC8" s="246"/>
      <c r="FD8" s="246"/>
      <c r="FE8" s="246"/>
      <c r="FF8" s="246"/>
      <c r="FG8" s="246"/>
      <c r="FH8" s="246"/>
      <c r="FI8" s="246"/>
      <c r="FJ8" s="246"/>
      <c r="FK8" s="246"/>
      <c r="FL8" s="246"/>
      <c r="FM8" s="246"/>
      <c r="FN8" s="246"/>
      <c r="FO8" s="246"/>
      <c r="FP8" s="246"/>
      <c r="FQ8" s="246"/>
      <c r="FR8" s="246"/>
      <c r="FS8" s="246"/>
      <c r="FT8" s="246"/>
      <c r="FU8" s="246"/>
      <c r="FV8" s="246"/>
      <c r="FW8" s="246"/>
      <c r="FX8" s="246"/>
      <c r="FY8" s="246"/>
      <c r="FZ8" s="246"/>
      <c r="GA8" s="246"/>
      <c r="GB8" s="246"/>
      <c r="GC8" s="246"/>
      <c r="GD8" s="246"/>
    </row>
    <row r="9" spans="1:186">
      <c r="A9" s="246"/>
      <c r="B9" s="246"/>
      <c r="C9" s="246"/>
      <c r="D9" s="246"/>
      <c r="E9" s="246"/>
      <c r="F9" s="246"/>
      <c r="G9" s="246"/>
      <c r="H9" s="246"/>
      <c r="I9" s="246"/>
      <c r="J9" s="246"/>
      <c r="K9" s="246"/>
      <c r="L9" s="246"/>
      <c r="M9" s="246"/>
      <c r="N9" s="246"/>
      <c r="O9" s="246"/>
      <c r="P9" s="246"/>
      <c r="Q9" s="246"/>
      <c r="R9" s="246"/>
      <c r="S9" s="246"/>
      <c r="T9" s="246"/>
      <c r="U9" s="246"/>
      <c r="V9" s="246"/>
      <c r="W9" s="246"/>
      <c r="X9" s="246"/>
      <c r="Y9" s="246"/>
      <c r="Z9" s="246"/>
      <c r="AA9" s="246"/>
      <c r="AB9" s="246"/>
      <c r="AC9" s="246"/>
      <c r="AD9" s="246"/>
      <c r="AE9" s="246"/>
      <c r="AF9" s="246"/>
      <c r="AG9" s="246"/>
      <c r="AH9" s="246"/>
      <c r="AI9" s="246"/>
      <c r="AJ9" s="246"/>
      <c r="AK9" s="246"/>
      <c r="AL9" s="246"/>
      <c r="AM9" s="246"/>
      <c r="AN9" s="246"/>
      <c r="AO9" s="246"/>
      <c r="AP9" s="246"/>
      <c r="AQ9" s="246"/>
      <c r="AR9" s="246"/>
      <c r="AS9" s="246"/>
      <c r="AT9" s="246"/>
      <c r="AU9" s="246"/>
      <c r="AV9" s="246"/>
      <c r="AW9" s="246"/>
      <c r="AX9" s="246"/>
      <c r="AY9" s="246"/>
      <c r="AZ9" s="246"/>
      <c r="BA9" s="246"/>
      <c r="BB9" s="246"/>
      <c r="BC9" s="246"/>
      <c r="BD9" s="246"/>
      <c r="BE9" s="246"/>
      <c r="BF9" s="246"/>
      <c r="BG9" s="246"/>
      <c r="BH9" s="246"/>
      <c r="BI9" s="246"/>
      <c r="BJ9" s="246"/>
      <c r="BK9" s="246"/>
      <c r="BL9" s="246"/>
      <c r="BM9" s="246"/>
      <c r="BN9" s="246"/>
      <c r="BO9" s="246"/>
      <c r="BP9" s="246"/>
      <c r="BQ9" s="246"/>
      <c r="BR9" s="246"/>
      <c r="BS9" s="246"/>
      <c r="BT9" s="246"/>
      <c r="BU9" s="246"/>
      <c r="BV9" s="246"/>
      <c r="BW9" s="246"/>
      <c r="BX9" s="246"/>
      <c r="BY9" s="246"/>
      <c r="BZ9" s="246"/>
      <c r="CA9" s="246"/>
      <c r="CB9" s="246"/>
      <c r="CC9" s="246"/>
      <c r="CD9" s="246"/>
      <c r="CE9" s="246"/>
      <c r="CF9" s="246"/>
      <c r="CG9" s="246"/>
      <c r="CH9" s="246"/>
      <c r="CI9" s="246"/>
      <c r="CJ9" s="246"/>
      <c r="CK9" s="246"/>
      <c r="CL9" s="246"/>
      <c r="CM9" s="246"/>
      <c r="CN9" s="246"/>
      <c r="CO9" s="246"/>
      <c r="CP9" s="246"/>
      <c r="CQ9" s="246"/>
      <c r="CR9" s="246"/>
      <c r="CS9" s="246"/>
      <c r="CT9" s="246"/>
      <c r="CU9" s="246"/>
      <c r="CV9" s="246"/>
      <c r="CW9" s="246"/>
      <c r="CX9" s="246"/>
      <c r="CY9" s="246"/>
      <c r="CZ9" s="246"/>
      <c r="DA9" s="246"/>
      <c r="DB9" s="246"/>
      <c r="DC9" s="246"/>
      <c r="DD9" s="246"/>
      <c r="DE9" s="246"/>
      <c r="DF9" s="246"/>
      <c r="DG9" s="246"/>
      <c r="DH9" s="246"/>
      <c r="DI9" s="246"/>
      <c r="DJ9" s="246"/>
      <c r="DK9" s="246"/>
      <c r="DL9" s="246"/>
      <c r="DM9" s="246"/>
      <c r="DN9" s="246"/>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46"/>
      <c r="EY9" s="246"/>
      <c r="EZ9" s="246"/>
      <c r="FA9" s="246"/>
      <c r="FB9" s="246"/>
      <c r="FC9" s="246"/>
      <c r="FD9" s="246"/>
      <c r="FE9" s="246"/>
      <c r="FF9" s="246"/>
      <c r="FG9" s="246"/>
      <c r="FH9" s="246"/>
      <c r="FI9" s="246"/>
      <c r="FJ9" s="246"/>
      <c r="FK9" s="246"/>
      <c r="FL9" s="246"/>
      <c r="FM9" s="246"/>
      <c r="FN9" s="246"/>
      <c r="FO9" s="246"/>
      <c r="FP9" s="246"/>
      <c r="FQ9" s="246"/>
      <c r="FR9" s="246"/>
      <c r="FS9" s="246"/>
      <c r="FT9" s="246"/>
      <c r="FU9" s="246"/>
      <c r="FV9" s="246"/>
      <c r="FW9" s="246"/>
      <c r="FX9" s="246"/>
      <c r="FY9" s="246"/>
      <c r="FZ9" s="246"/>
      <c r="GA9" s="246"/>
      <c r="GB9" s="246"/>
      <c r="GC9" s="246"/>
      <c r="GD9" s="246"/>
    </row>
    <row r="10" spans="1:186">
      <c r="A10" s="246"/>
      <c r="B10" s="246"/>
      <c r="C10" s="246"/>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6"/>
      <c r="AC10" s="246"/>
      <c r="AD10" s="246"/>
      <c r="AE10" s="246"/>
      <c r="AF10" s="246"/>
      <c r="AG10" s="246"/>
      <c r="AH10" s="246"/>
      <c r="AI10" s="246"/>
      <c r="AJ10" s="246"/>
      <c r="AK10" s="246"/>
      <c r="AL10" s="246"/>
      <c r="AM10" s="246"/>
      <c r="AN10" s="246"/>
      <c r="AO10" s="246"/>
      <c r="AP10" s="246"/>
      <c r="AQ10" s="246"/>
      <c r="AR10" s="246"/>
      <c r="AS10" s="246"/>
      <c r="AT10" s="246"/>
      <c r="AU10" s="246"/>
      <c r="AV10" s="246"/>
      <c r="AW10" s="246"/>
      <c r="AX10" s="246"/>
      <c r="AY10" s="246"/>
      <c r="AZ10" s="246"/>
      <c r="BA10" s="246"/>
      <c r="BB10" s="246"/>
      <c r="BC10" s="246"/>
      <c r="BD10" s="246"/>
      <c r="BE10" s="246"/>
      <c r="BF10" s="246"/>
      <c r="BG10" s="246"/>
      <c r="BH10" s="246"/>
      <c r="BI10" s="246"/>
      <c r="BJ10" s="246"/>
      <c r="BK10" s="246"/>
      <c r="BL10" s="246"/>
      <c r="BM10" s="246"/>
      <c r="BN10" s="246"/>
      <c r="BO10" s="246"/>
      <c r="BP10" s="246"/>
      <c r="BQ10" s="246"/>
      <c r="BR10" s="246"/>
      <c r="BS10" s="246"/>
      <c r="BT10" s="246"/>
      <c r="BU10" s="246"/>
      <c r="BV10" s="246"/>
      <c r="BW10" s="246"/>
      <c r="BX10" s="246"/>
      <c r="BY10" s="246"/>
      <c r="BZ10" s="246"/>
      <c r="CA10" s="246"/>
      <c r="CB10" s="246"/>
      <c r="CC10" s="246"/>
      <c r="CD10" s="246"/>
      <c r="CE10" s="246"/>
      <c r="CF10" s="246"/>
      <c r="CG10" s="246"/>
      <c r="CH10" s="246"/>
      <c r="CI10" s="246"/>
      <c r="CJ10" s="246"/>
      <c r="CK10" s="246"/>
      <c r="CL10" s="246"/>
      <c r="CM10" s="246"/>
      <c r="CN10" s="246"/>
      <c r="CO10" s="246"/>
      <c r="CP10" s="246"/>
      <c r="CQ10" s="246"/>
      <c r="CR10" s="246"/>
      <c r="CS10" s="246"/>
      <c r="CT10" s="246"/>
      <c r="CU10" s="246"/>
      <c r="CV10" s="246"/>
      <c r="CW10" s="246"/>
      <c r="CX10" s="246"/>
      <c r="CY10" s="246"/>
      <c r="CZ10" s="246"/>
      <c r="DA10" s="246"/>
      <c r="DB10" s="246"/>
      <c r="DC10" s="246"/>
      <c r="DD10" s="246"/>
      <c r="DE10" s="246"/>
      <c r="DF10" s="246"/>
      <c r="DG10" s="246"/>
      <c r="DH10" s="246"/>
      <c r="DI10" s="246"/>
      <c r="DJ10" s="246"/>
      <c r="DK10" s="246"/>
      <c r="DL10" s="246"/>
      <c r="DM10" s="246"/>
      <c r="DN10" s="246"/>
      <c r="DO10" s="246"/>
      <c r="DP10" s="246"/>
      <c r="DQ10" s="246"/>
      <c r="DR10" s="246"/>
      <c r="DS10" s="246"/>
      <c r="DT10" s="246"/>
      <c r="DU10" s="246"/>
      <c r="DV10" s="246"/>
      <c r="DW10" s="246"/>
      <c r="DX10" s="246"/>
      <c r="DY10" s="246"/>
      <c r="DZ10" s="246"/>
      <c r="EA10" s="246"/>
      <c r="EB10" s="246"/>
      <c r="EC10" s="246"/>
      <c r="ED10" s="246"/>
      <c r="EE10" s="246"/>
      <c r="EF10" s="246"/>
      <c r="EG10" s="246"/>
      <c r="EH10" s="246"/>
      <c r="EI10" s="246"/>
      <c r="EJ10" s="246"/>
      <c r="EK10" s="246"/>
      <c r="EL10" s="246"/>
      <c r="EM10" s="246"/>
      <c r="EN10" s="246"/>
      <c r="EO10" s="246"/>
      <c r="EP10" s="246"/>
      <c r="EQ10" s="246"/>
      <c r="ER10" s="246"/>
      <c r="ES10" s="246"/>
      <c r="ET10" s="246"/>
      <c r="EU10" s="246"/>
      <c r="EV10" s="246"/>
      <c r="EW10" s="246"/>
      <c r="EX10" s="246"/>
      <c r="EY10" s="246"/>
      <c r="EZ10" s="246"/>
      <c r="FA10" s="246"/>
      <c r="FB10" s="246"/>
      <c r="FC10" s="246"/>
      <c r="FD10" s="246"/>
      <c r="FE10" s="246"/>
      <c r="FF10" s="246"/>
      <c r="FG10" s="246"/>
      <c r="FH10" s="246"/>
      <c r="FI10" s="246"/>
      <c r="FJ10" s="246"/>
      <c r="FK10" s="246"/>
      <c r="FL10" s="246"/>
      <c r="FM10" s="246"/>
      <c r="FN10" s="246"/>
      <c r="FO10" s="246"/>
      <c r="FP10" s="246"/>
      <c r="FQ10" s="246"/>
      <c r="FR10" s="246"/>
      <c r="FS10" s="246"/>
      <c r="FT10" s="246"/>
      <c r="FU10" s="246"/>
      <c r="FV10" s="246"/>
      <c r="FW10" s="246"/>
      <c r="FX10" s="246"/>
      <c r="FY10" s="246"/>
      <c r="FZ10" s="246"/>
      <c r="GA10" s="246"/>
      <c r="GB10" s="246"/>
      <c r="GC10" s="246"/>
      <c r="GD10" s="246"/>
    </row>
    <row r="11" spans="1:186">
      <c r="A11" s="246"/>
      <c r="B11" s="246"/>
      <c r="C11" s="246"/>
      <c r="D11" s="246"/>
      <c r="E11" s="246"/>
      <c r="F11" s="246"/>
      <c r="G11" s="246"/>
      <c r="H11" s="246"/>
      <c r="I11" s="246"/>
      <c r="J11" s="246"/>
      <c r="K11" s="246"/>
      <c r="L11" s="246"/>
      <c r="M11" s="246"/>
      <c r="N11" s="246"/>
      <c r="O11" s="246"/>
      <c r="P11" s="246"/>
      <c r="Q11" s="246"/>
      <c r="R11" s="246"/>
      <c r="S11" s="246"/>
      <c r="T11" s="246"/>
      <c r="U11" s="246"/>
      <c r="V11" s="246"/>
      <c r="W11" s="246"/>
      <c r="X11" s="246"/>
      <c r="Y11" s="246"/>
      <c r="Z11" s="246"/>
      <c r="AA11" s="246"/>
      <c r="AB11" s="246"/>
      <c r="AC11" s="246"/>
      <c r="AD11" s="246"/>
      <c r="AE11" s="246"/>
      <c r="AF11" s="246"/>
      <c r="AG11" s="246"/>
      <c r="AH11" s="246"/>
      <c r="AI11" s="246"/>
      <c r="AJ11" s="246"/>
      <c r="AK11" s="246"/>
      <c r="AL11" s="246"/>
      <c r="AM11" s="246"/>
      <c r="AN11" s="246"/>
      <c r="AO11" s="246"/>
      <c r="AP11" s="246"/>
      <c r="AQ11" s="246"/>
      <c r="AR11" s="246"/>
      <c r="AS11" s="246"/>
      <c r="AT11" s="246"/>
      <c r="AU11" s="246"/>
      <c r="AV11" s="246"/>
      <c r="AW11" s="246"/>
      <c r="AX11" s="246"/>
      <c r="AY11" s="246"/>
      <c r="AZ11" s="246"/>
      <c r="BA11" s="246"/>
      <c r="BB11" s="246"/>
      <c r="BC11" s="246"/>
      <c r="BD11" s="246"/>
      <c r="BE11" s="246"/>
      <c r="BF11" s="246"/>
      <c r="BG11" s="246"/>
      <c r="BH11" s="246"/>
      <c r="BI11" s="246"/>
      <c r="BJ11" s="246"/>
      <c r="BK11" s="246"/>
      <c r="BL11" s="246"/>
      <c r="BM11" s="246"/>
      <c r="BN11" s="246"/>
      <c r="BO11" s="246"/>
      <c r="BP11" s="246"/>
      <c r="BQ11" s="246"/>
      <c r="BR11" s="246"/>
      <c r="BS11" s="246"/>
      <c r="BT11" s="246"/>
      <c r="BU11" s="246"/>
      <c r="BV11" s="246"/>
      <c r="BW11" s="246"/>
      <c r="BX11" s="246"/>
      <c r="BY11" s="246"/>
      <c r="BZ11" s="246"/>
      <c r="CA11" s="246"/>
      <c r="CB11" s="246"/>
      <c r="CC11" s="246"/>
      <c r="CD11" s="246"/>
      <c r="CE11" s="246"/>
      <c r="CF11" s="246"/>
      <c r="CG11" s="246"/>
      <c r="CH11" s="246"/>
      <c r="CI11" s="246"/>
      <c r="CJ11" s="246"/>
      <c r="CK11" s="246"/>
      <c r="CL11" s="246"/>
      <c r="CM11" s="246"/>
      <c r="CN11" s="246"/>
      <c r="CO11" s="246"/>
      <c r="CP11" s="246"/>
      <c r="CQ11" s="246"/>
      <c r="CR11" s="246"/>
      <c r="CS11" s="246"/>
      <c r="CT11" s="246"/>
      <c r="CU11" s="246"/>
      <c r="CV11" s="246"/>
      <c r="CW11" s="246"/>
      <c r="CX11" s="246"/>
      <c r="CY11" s="246"/>
      <c r="CZ11" s="246"/>
      <c r="DA11" s="246"/>
      <c r="DB11" s="246"/>
      <c r="DC11" s="246"/>
      <c r="DD11" s="246"/>
      <c r="DE11" s="246"/>
      <c r="DF11" s="246"/>
      <c r="DG11" s="246"/>
      <c r="DH11" s="246"/>
      <c r="DI11" s="246"/>
      <c r="DJ11" s="246"/>
      <c r="DK11" s="246"/>
      <c r="DL11" s="246"/>
      <c r="DM11" s="246"/>
      <c r="DN11" s="246"/>
      <c r="DO11" s="246"/>
      <c r="DP11" s="246"/>
      <c r="DQ11" s="246"/>
      <c r="DR11" s="246"/>
      <c r="DS11" s="246"/>
      <c r="DT11" s="246"/>
      <c r="DU11" s="246"/>
      <c r="DV11" s="246"/>
      <c r="DW11" s="246"/>
      <c r="DX11" s="246"/>
      <c r="DY11" s="246"/>
      <c r="DZ11" s="246"/>
      <c r="EA11" s="246"/>
      <c r="EB11" s="246"/>
      <c r="EC11" s="246"/>
      <c r="ED11" s="246"/>
      <c r="EE11" s="246"/>
      <c r="EF11" s="246"/>
      <c r="EG11" s="246"/>
      <c r="EH11" s="246"/>
      <c r="EI11" s="246"/>
      <c r="EJ11" s="246"/>
      <c r="EK11" s="246"/>
      <c r="EL11" s="246"/>
      <c r="EM11" s="246"/>
      <c r="EN11" s="246"/>
      <c r="EO11" s="246"/>
      <c r="EP11" s="246"/>
      <c r="EQ11" s="246"/>
      <c r="ER11" s="246"/>
      <c r="ES11" s="246"/>
      <c r="ET11" s="246"/>
      <c r="EU11" s="246"/>
      <c r="EV11" s="246"/>
      <c r="EW11" s="246"/>
      <c r="EX11" s="246"/>
      <c r="EY11" s="246"/>
      <c r="EZ11" s="246"/>
      <c r="FA11" s="246"/>
      <c r="FB11" s="246"/>
      <c r="FC11" s="246"/>
      <c r="FD11" s="246"/>
      <c r="FE11" s="246"/>
      <c r="FF11" s="246"/>
      <c r="FG11" s="246"/>
      <c r="FH11" s="246"/>
      <c r="FI11" s="246"/>
      <c r="FJ11" s="246"/>
      <c r="FK11" s="246"/>
      <c r="FL11" s="246"/>
      <c r="FM11" s="246"/>
      <c r="FN11" s="246"/>
      <c r="FO11" s="246"/>
      <c r="FP11" s="246"/>
      <c r="FQ11" s="246"/>
      <c r="FR11" s="246"/>
      <c r="FS11" s="246"/>
      <c r="FT11" s="246"/>
      <c r="FU11" s="246"/>
      <c r="FV11" s="246"/>
      <c r="FW11" s="246"/>
      <c r="FX11" s="246"/>
      <c r="FY11" s="246"/>
      <c r="FZ11" s="246"/>
      <c r="GA11" s="246"/>
      <c r="GB11" s="246"/>
      <c r="GC11" s="246"/>
      <c r="GD11" s="246"/>
    </row>
    <row r="12" spans="1:186">
      <c r="A12" s="246"/>
      <c r="B12" s="246"/>
      <c r="C12" s="246"/>
      <c r="D12" s="246"/>
      <c r="E12" s="246"/>
      <c r="F12" s="246"/>
      <c r="G12" s="246"/>
      <c r="H12" s="246"/>
      <c r="I12" s="246"/>
      <c r="J12" s="246"/>
      <c r="K12" s="246"/>
      <c r="L12" s="246"/>
      <c r="M12" s="246"/>
      <c r="N12" s="246"/>
      <c r="O12" s="246"/>
      <c r="P12" s="246"/>
      <c r="Q12" s="246"/>
      <c r="R12" s="246"/>
      <c r="S12" s="246"/>
      <c r="T12" s="246"/>
      <c r="U12" s="246"/>
      <c r="V12" s="246"/>
      <c r="W12" s="246"/>
      <c r="X12" s="246"/>
      <c r="Y12" s="246"/>
      <c r="Z12" s="246"/>
      <c r="AA12" s="246"/>
      <c r="AB12" s="246"/>
      <c r="AC12" s="246"/>
      <c r="AD12" s="246"/>
      <c r="AE12" s="246"/>
      <c r="AF12" s="246"/>
      <c r="AG12" s="246"/>
      <c r="AH12" s="246"/>
      <c r="AI12" s="246"/>
      <c r="AJ12" s="246"/>
      <c r="AK12" s="246"/>
      <c r="AL12" s="246"/>
      <c r="AM12" s="246"/>
      <c r="AN12" s="246"/>
      <c r="AO12" s="246"/>
      <c r="AP12" s="246"/>
      <c r="AQ12" s="246"/>
      <c r="AR12" s="246"/>
      <c r="AS12" s="246"/>
      <c r="AT12" s="246"/>
      <c r="AU12" s="246"/>
      <c r="AV12" s="246"/>
      <c r="AW12" s="246"/>
      <c r="AX12" s="246"/>
      <c r="AY12" s="246"/>
      <c r="AZ12" s="246"/>
      <c r="BA12" s="246"/>
      <c r="BB12" s="246"/>
      <c r="BC12" s="246"/>
      <c r="BD12" s="246"/>
      <c r="BE12" s="246"/>
      <c r="BF12" s="246"/>
      <c r="BG12" s="246"/>
      <c r="BH12" s="246"/>
      <c r="BI12" s="246"/>
      <c r="BJ12" s="246"/>
      <c r="BK12" s="246"/>
      <c r="BL12" s="246"/>
      <c r="BM12" s="246"/>
      <c r="BN12" s="246"/>
      <c r="BO12" s="246"/>
      <c r="BP12" s="246"/>
      <c r="BQ12" s="246"/>
      <c r="BR12" s="246"/>
      <c r="BS12" s="246"/>
      <c r="BT12" s="246"/>
      <c r="BU12" s="246"/>
      <c r="BV12" s="246"/>
      <c r="BW12" s="246"/>
      <c r="BX12" s="246"/>
      <c r="BY12" s="246"/>
      <c r="BZ12" s="246"/>
      <c r="CA12" s="246"/>
      <c r="CB12" s="246"/>
      <c r="CC12" s="246"/>
      <c r="CD12" s="246"/>
      <c r="CE12" s="246"/>
      <c r="CF12" s="246"/>
      <c r="CG12" s="246"/>
      <c r="CH12" s="246"/>
      <c r="CI12" s="246"/>
      <c r="CJ12" s="246"/>
      <c r="CK12" s="246"/>
      <c r="CL12" s="246"/>
      <c r="CM12" s="246"/>
      <c r="CN12" s="246"/>
      <c r="CO12" s="246"/>
      <c r="CP12" s="246"/>
      <c r="CQ12" s="246"/>
      <c r="CR12" s="246"/>
      <c r="CS12" s="246"/>
      <c r="CT12" s="246"/>
      <c r="CU12" s="246"/>
      <c r="CV12" s="246"/>
      <c r="CW12" s="246"/>
      <c r="CX12" s="246"/>
      <c r="CY12" s="246"/>
      <c r="CZ12" s="246"/>
      <c r="DA12" s="246"/>
      <c r="DB12" s="246"/>
      <c r="DC12" s="246"/>
      <c r="DD12" s="246"/>
      <c r="DE12" s="246"/>
      <c r="DF12" s="246"/>
      <c r="DG12" s="246"/>
      <c r="DH12" s="246"/>
      <c r="DI12" s="246"/>
      <c r="DJ12" s="246"/>
      <c r="DK12" s="246"/>
      <c r="DL12" s="246"/>
      <c r="DM12" s="246"/>
      <c r="DN12" s="246"/>
      <c r="DO12" s="246"/>
      <c r="DP12" s="246"/>
      <c r="DQ12" s="246"/>
      <c r="DR12" s="246"/>
      <c r="DS12" s="246"/>
      <c r="DT12" s="246"/>
      <c r="DU12" s="246"/>
      <c r="DV12" s="246"/>
      <c r="DW12" s="246"/>
      <c r="DX12" s="246"/>
      <c r="DY12" s="246"/>
      <c r="DZ12" s="246"/>
      <c r="EA12" s="246"/>
      <c r="EB12" s="246"/>
      <c r="EC12" s="246"/>
      <c r="ED12" s="246"/>
      <c r="EE12" s="246"/>
      <c r="EF12" s="246"/>
      <c r="EG12" s="246"/>
      <c r="EH12" s="246"/>
      <c r="EI12" s="246"/>
      <c r="EJ12" s="246"/>
      <c r="EK12" s="246"/>
      <c r="EL12" s="246"/>
      <c r="EM12" s="246"/>
      <c r="EN12" s="246"/>
      <c r="EO12" s="246"/>
      <c r="EP12" s="246"/>
      <c r="EQ12" s="246"/>
      <c r="ER12" s="246"/>
      <c r="ES12" s="246"/>
      <c r="ET12" s="246"/>
      <c r="EU12" s="246"/>
      <c r="EV12" s="246"/>
      <c r="EW12" s="246"/>
      <c r="EX12" s="246"/>
      <c r="EY12" s="246"/>
      <c r="EZ12" s="246"/>
      <c r="FA12" s="246"/>
      <c r="FB12" s="246"/>
      <c r="FC12" s="246"/>
      <c r="FD12" s="246"/>
      <c r="FE12" s="246"/>
      <c r="FF12" s="246"/>
      <c r="FG12" s="246"/>
      <c r="FH12" s="246"/>
      <c r="FI12" s="246"/>
      <c r="FJ12" s="246"/>
      <c r="FK12" s="246"/>
      <c r="FL12" s="246"/>
      <c r="FM12" s="246"/>
      <c r="FN12" s="246"/>
      <c r="FO12" s="246"/>
      <c r="FP12" s="246"/>
      <c r="FQ12" s="246"/>
      <c r="FR12" s="246"/>
      <c r="FS12" s="246"/>
      <c r="FT12" s="246"/>
      <c r="FU12" s="246"/>
      <c r="FV12" s="246"/>
      <c r="FW12" s="246"/>
      <c r="FX12" s="246"/>
      <c r="FY12" s="246"/>
      <c r="FZ12" s="246"/>
      <c r="GA12" s="246"/>
      <c r="GB12" s="246"/>
      <c r="GC12" s="246"/>
      <c r="GD12" s="246"/>
    </row>
    <row r="13" spans="1:186">
      <c r="A13" s="246"/>
      <c r="B13" s="246"/>
      <c r="C13" s="246"/>
      <c r="D13" s="246"/>
      <c r="E13" s="246"/>
      <c r="F13" s="246"/>
      <c r="G13" s="246"/>
      <c r="H13" s="246"/>
      <c r="I13" s="246"/>
      <c r="J13" s="246"/>
      <c r="K13" s="246"/>
      <c r="L13" s="246"/>
      <c r="M13" s="246"/>
      <c r="N13" s="246"/>
      <c r="O13" s="246"/>
      <c r="P13" s="246"/>
      <c r="Q13" s="246"/>
      <c r="R13" s="246"/>
      <c r="S13" s="246"/>
      <c r="T13" s="246"/>
      <c r="U13" s="246"/>
      <c r="V13" s="246"/>
      <c r="W13" s="246"/>
      <c r="X13" s="246"/>
      <c r="Y13" s="246"/>
      <c r="Z13" s="246"/>
      <c r="AA13" s="246"/>
      <c r="AB13" s="246"/>
      <c r="AC13" s="246"/>
      <c r="AD13" s="246"/>
      <c r="AE13" s="246"/>
      <c r="AF13" s="246"/>
      <c r="AG13" s="246"/>
      <c r="AH13" s="246"/>
      <c r="AI13" s="246"/>
      <c r="AJ13" s="246"/>
      <c r="AK13" s="246"/>
      <c r="AL13" s="246"/>
      <c r="AM13" s="246"/>
      <c r="AN13" s="246"/>
      <c r="AO13" s="246"/>
      <c r="AP13" s="246"/>
      <c r="AQ13" s="246"/>
      <c r="AR13" s="246"/>
      <c r="AS13" s="246"/>
      <c r="AT13" s="246"/>
      <c r="AU13" s="246"/>
      <c r="AV13" s="246"/>
      <c r="AW13" s="246"/>
      <c r="AX13" s="246"/>
      <c r="AY13" s="246"/>
      <c r="AZ13" s="246"/>
      <c r="BA13" s="246"/>
      <c r="BB13" s="246"/>
      <c r="BC13" s="246"/>
      <c r="BD13" s="246"/>
      <c r="BE13" s="246"/>
      <c r="BF13" s="246"/>
      <c r="BG13" s="246"/>
      <c r="BH13" s="246"/>
      <c r="BI13" s="246"/>
      <c r="BJ13" s="246"/>
      <c r="BK13" s="246"/>
      <c r="BL13" s="246"/>
      <c r="BM13" s="246"/>
      <c r="BN13" s="246"/>
      <c r="BO13" s="246"/>
      <c r="BP13" s="246"/>
      <c r="BQ13" s="246"/>
      <c r="BR13" s="246"/>
      <c r="BS13" s="246"/>
      <c r="BT13" s="246"/>
      <c r="BU13" s="246"/>
      <c r="BV13" s="246"/>
      <c r="BW13" s="246"/>
      <c r="BX13" s="246"/>
      <c r="BY13" s="246"/>
      <c r="BZ13" s="246"/>
      <c r="CA13" s="246"/>
      <c r="CB13" s="246"/>
      <c r="CC13" s="246"/>
      <c r="CD13" s="246"/>
      <c r="CE13" s="246"/>
      <c r="CF13" s="246"/>
      <c r="CG13" s="246"/>
      <c r="CH13" s="246"/>
      <c r="CI13" s="246"/>
      <c r="CJ13" s="246"/>
      <c r="CK13" s="246"/>
      <c r="CL13" s="246"/>
      <c r="CM13" s="246"/>
      <c r="CN13" s="246"/>
      <c r="CO13" s="246"/>
      <c r="CP13" s="246"/>
      <c r="CQ13" s="246"/>
      <c r="CR13" s="246"/>
      <c r="CS13" s="246"/>
      <c r="CT13" s="246"/>
      <c r="CU13" s="246"/>
      <c r="CV13" s="246"/>
      <c r="CW13" s="246"/>
      <c r="CX13" s="246"/>
      <c r="CY13" s="246"/>
      <c r="CZ13" s="246"/>
      <c r="DA13" s="246"/>
      <c r="DB13" s="246"/>
      <c r="DC13" s="246"/>
      <c r="DD13" s="246"/>
      <c r="DE13" s="246"/>
      <c r="DF13" s="246"/>
      <c r="DG13" s="246"/>
      <c r="DH13" s="246"/>
      <c r="DI13" s="246"/>
      <c r="DJ13" s="246"/>
      <c r="DK13" s="246"/>
      <c r="DL13" s="246"/>
      <c r="DM13" s="246"/>
      <c r="DN13" s="246"/>
      <c r="DO13" s="246"/>
      <c r="DP13" s="246"/>
      <c r="DQ13" s="246"/>
      <c r="DR13" s="246"/>
      <c r="DS13" s="246"/>
      <c r="DT13" s="246"/>
      <c r="DU13" s="246"/>
      <c r="DV13" s="246"/>
      <c r="DW13" s="246"/>
      <c r="DX13" s="246"/>
      <c r="DY13" s="246"/>
      <c r="DZ13" s="246"/>
      <c r="EA13" s="246"/>
      <c r="EB13" s="246"/>
      <c r="EC13" s="246"/>
      <c r="ED13" s="246"/>
      <c r="EE13" s="246"/>
      <c r="EF13" s="246"/>
      <c r="EG13" s="246"/>
      <c r="EH13" s="246"/>
      <c r="EI13" s="246"/>
      <c r="EJ13" s="246"/>
      <c r="EK13" s="246"/>
      <c r="EL13" s="246"/>
      <c r="EM13" s="246"/>
      <c r="EN13" s="246"/>
      <c r="EO13" s="246"/>
      <c r="EP13" s="246"/>
      <c r="EQ13" s="246"/>
      <c r="ER13" s="246"/>
      <c r="ES13" s="246"/>
      <c r="ET13" s="246"/>
      <c r="EU13" s="246"/>
      <c r="EV13" s="246"/>
      <c r="EW13" s="246"/>
      <c r="EX13" s="246"/>
      <c r="EY13" s="246"/>
      <c r="EZ13" s="246"/>
      <c r="FA13" s="246"/>
      <c r="FB13" s="246"/>
      <c r="FC13" s="246"/>
      <c r="FD13" s="246"/>
      <c r="FE13" s="246"/>
      <c r="FF13" s="246"/>
      <c r="FG13" s="246"/>
      <c r="FH13" s="246"/>
      <c r="FI13" s="246"/>
      <c r="FJ13" s="246"/>
      <c r="FK13" s="246"/>
      <c r="FL13" s="246"/>
      <c r="FM13" s="246"/>
      <c r="FN13" s="246"/>
      <c r="FO13" s="246"/>
      <c r="FP13" s="246"/>
      <c r="FQ13" s="246"/>
      <c r="FR13" s="246"/>
      <c r="FS13" s="246"/>
      <c r="FT13" s="246"/>
      <c r="FU13" s="246"/>
      <c r="FV13" s="246"/>
      <c r="FW13" s="246"/>
      <c r="FX13" s="246"/>
      <c r="FY13" s="246"/>
      <c r="FZ13" s="246"/>
      <c r="GA13" s="246"/>
      <c r="GB13" s="246"/>
      <c r="GC13" s="246"/>
      <c r="GD13" s="246"/>
    </row>
    <row r="14" spans="1:186">
      <c r="A14" s="246"/>
      <c r="B14" s="246"/>
      <c r="C14" s="246"/>
      <c r="D14" s="246"/>
      <c r="E14" s="246"/>
      <c r="F14" s="246"/>
      <c r="G14" s="246"/>
      <c r="H14" s="246"/>
      <c r="I14" s="246"/>
      <c r="J14" s="246"/>
      <c r="K14" s="246"/>
      <c r="L14" s="246"/>
      <c r="M14" s="246"/>
      <c r="N14" s="246"/>
      <c r="O14" s="246"/>
      <c r="P14" s="246"/>
      <c r="Q14" s="246"/>
      <c r="R14" s="246"/>
      <c r="S14" s="246"/>
      <c r="T14" s="246"/>
      <c r="U14" s="246"/>
      <c r="V14" s="246"/>
      <c r="W14" s="246"/>
      <c r="X14" s="246"/>
      <c r="Y14" s="246"/>
      <c r="Z14" s="246"/>
      <c r="AA14" s="246"/>
      <c r="AB14" s="246"/>
      <c r="AC14" s="246"/>
      <c r="AD14" s="246"/>
      <c r="AE14" s="246"/>
      <c r="AF14" s="246"/>
      <c r="AG14" s="246"/>
      <c r="AH14" s="246"/>
      <c r="AI14" s="246"/>
      <c r="AJ14" s="246"/>
      <c r="AK14" s="246"/>
      <c r="AL14" s="246"/>
      <c r="AM14" s="246"/>
      <c r="AN14" s="246"/>
      <c r="AO14" s="246"/>
      <c r="AP14" s="246"/>
      <c r="AQ14" s="246"/>
      <c r="AR14" s="246"/>
      <c r="AS14" s="246"/>
      <c r="AT14" s="246"/>
      <c r="AU14" s="246"/>
      <c r="AV14" s="246"/>
      <c r="AW14" s="246"/>
      <c r="AX14" s="246"/>
      <c r="AY14" s="246"/>
      <c r="AZ14" s="246"/>
      <c r="BA14" s="246"/>
      <c r="BB14" s="246"/>
      <c r="BC14" s="246"/>
      <c r="BD14" s="246"/>
      <c r="BE14" s="246"/>
      <c r="BF14" s="246"/>
      <c r="BG14" s="246"/>
      <c r="BH14" s="246"/>
      <c r="BI14" s="246"/>
      <c r="BJ14" s="246"/>
      <c r="BK14" s="246"/>
      <c r="BL14" s="246"/>
      <c r="BM14" s="246"/>
      <c r="BN14" s="246"/>
      <c r="BO14" s="246"/>
      <c r="BP14" s="246"/>
      <c r="BQ14" s="246"/>
      <c r="BR14" s="246"/>
      <c r="BS14" s="246"/>
      <c r="BT14" s="246"/>
      <c r="BU14" s="246"/>
      <c r="BV14" s="246"/>
      <c r="BW14" s="246"/>
      <c r="BX14" s="246"/>
      <c r="BY14" s="246"/>
      <c r="BZ14" s="246"/>
      <c r="CA14" s="246"/>
      <c r="CB14" s="246"/>
      <c r="CC14" s="246"/>
      <c r="CD14" s="246"/>
      <c r="CE14" s="246"/>
      <c r="CF14" s="246"/>
      <c r="CG14" s="246"/>
      <c r="CH14" s="246"/>
      <c r="CI14" s="246"/>
      <c r="CJ14" s="246"/>
      <c r="CK14" s="246"/>
      <c r="CL14" s="246"/>
      <c r="CM14" s="246"/>
      <c r="CN14" s="246"/>
      <c r="CO14" s="246"/>
      <c r="CP14" s="246"/>
      <c r="CQ14" s="246"/>
      <c r="CR14" s="246"/>
      <c r="CS14" s="246"/>
      <c r="CT14" s="246"/>
      <c r="CU14" s="246"/>
      <c r="CV14" s="246"/>
      <c r="CW14" s="246"/>
      <c r="CX14" s="246"/>
      <c r="CY14" s="246"/>
      <c r="CZ14" s="246"/>
      <c r="DA14" s="246"/>
      <c r="DB14" s="246"/>
      <c r="DC14" s="246"/>
      <c r="DD14" s="246"/>
      <c r="DE14" s="246"/>
      <c r="DF14" s="246"/>
      <c r="DG14" s="246"/>
      <c r="DH14" s="246"/>
      <c r="DI14" s="246"/>
      <c r="DJ14" s="246"/>
      <c r="DK14" s="246"/>
      <c r="DL14" s="246"/>
      <c r="DM14" s="246"/>
      <c r="DN14" s="246"/>
      <c r="DO14" s="246"/>
      <c r="DP14" s="246"/>
      <c r="DQ14" s="246"/>
      <c r="DR14" s="246"/>
      <c r="DS14" s="246"/>
      <c r="DT14" s="246"/>
      <c r="DU14" s="246"/>
      <c r="DV14" s="246"/>
      <c r="DW14" s="246"/>
      <c r="DX14" s="246"/>
      <c r="DY14" s="246"/>
      <c r="DZ14" s="246"/>
      <c r="EA14" s="246"/>
      <c r="EB14" s="246"/>
      <c r="EC14" s="246"/>
      <c r="ED14" s="246"/>
      <c r="EE14" s="246"/>
      <c r="EF14" s="246"/>
      <c r="EG14" s="246"/>
      <c r="EH14" s="246"/>
      <c r="EI14" s="246"/>
      <c r="EJ14" s="246"/>
      <c r="EK14" s="246"/>
      <c r="EL14" s="246"/>
      <c r="EM14" s="246"/>
      <c r="EN14" s="246"/>
      <c r="EO14" s="246"/>
      <c r="EP14" s="246"/>
      <c r="EQ14" s="246"/>
      <c r="ER14" s="246"/>
      <c r="ES14" s="246"/>
      <c r="ET14" s="246"/>
      <c r="EU14" s="246"/>
      <c r="EV14" s="246"/>
      <c r="EW14" s="246"/>
      <c r="EX14" s="246"/>
      <c r="EY14" s="246"/>
      <c r="EZ14" s="246"/>
      <c r="FA14" s="246"/>
      <c r="FB14" s="246"/>
      <c r="FC14" s="246"/>
      <c r="FD14" s="246"/>
      <c r="FE14" s="246"/>
      <c r="FF14" s="246"/>
      <c r="FG14" s="246"/>
      <c r="FH14" s="246"/>
      <c r="FI14" s="246"/>
      <c r="FJ14" s="246"/>
      <c r="FK14" s="246"/>
      <c r="FL14" s="246"/>
      <c r="FM14" s="246"/>
      <c r="FN14" s="246"/>
      <c r="FO14" s="246"/>
      <c r="FP14" s="246"/>
      <c r="FQ14" s="246"/>
      <c r="FR14" s="246"/>
      <c r="FS14" s="246"/>
      <c r="FT14" s="246"/>
      <c r="FU14" s="246"/>
      <c r="FV14" s="246"/>
      <c r="FW14" s="246"/>
      <c r="FX14" s="246"/>
      <c r="FY14" s="246"/>
      <c r="FZ14" s="246"/>
      <c r="GA14" s="246"/>
      <c r="GB14" s="246"/>
      <c r="GC14" s="246"/>
      <c r="GD14" s="246"/>
    </row>
    <row r="15" spans="1:186">
      <c r="A15" s="246"/>
      <c r="B15" s="246"/>
      <c r="C15" s="246"/>
      <c r="D15" s="246"/>
      <c r="E15" s="246"/>
      <c r="F15" s="246"/>
      <c r="G15" s="246"/>
      <c r="H15" s="246"/>
      <c r="I15" s="246"/>
      <c r="J15" s="246"/>
      <c r="K15" s="246"/>
      <c r="L15" s="246"/>
      <c r="M15" s="246"/>
      <c r="N15" s="246"/>
      <c r="O15" s="246"/>
      <c r="P15" s="246"/>
      <c r="Q15" s="246"/>
      <c r="R15" s="246"/>
      <c r="S15" s="246"/>
      <c r="T15" s="246"/>
      <c r="U15" s="246"/>
      <c r="V15" s="246"/>
      <c r="W15" s="246"/>
      <c r="X15" s="246"/>
      <c r="Y15" s="246"/>
      <c r="Z15" s="246"/>
      <c r="AA15" s="246"/>
      <c r="AB15" s="246"/>
      <c r="AC15" s="246"/>
      <c r="AD15" s="246"/>
      <c r="AE15" s="246"/>
      <c r="AF15" s="246"/>
      <c r="AG15" s="246"/>
      <c r="AH15" s="246"/>
      <c r="AI15" s="246"/>
      <c r="AJ15" s="246"/>
      <c r="AK15" s="246"/>
      <c r="AL15" s="246"/>
      <c r="AM15" s="246"/>
      <c r="AN15" s="246"/>
      <c r="AO15" s="246"/>
      <c r="AP15" s="246"/>
      <c r="AQ15" s="246"/>
      <c r="AR15" s="246"/>
      <c r="AS15" s="246"/>
      <c r="AT15" s="246"/>
      <c r="AU15" s="246"/>
      <c r="AV15" s="246"/>
      <c r="AW15" s="246"/>
      <c r="AX15" s="246"/>
      <c r="AY15" s="246"/>
      <c r="AZ15" s="246"/>
      <c r="BA15" s="246"/>
      <c r="BB15" s="246"/>
      <c r="BC15" s="246"/>
      <c r="BD15" s="246"/>
      <c r="BE15" s="246"/>
      <c r="BF15" s="246"/>
      <c r="BG15" s="246"/>
      <c r="BH15" s="246"/>
      <c r="BI15" s="246"/>
      <c r="BJ15" s="246"/>
      <c r="BK15" s="246"/>
      <c r="BL15" s="246"/>
      <c r="BM15" s="246"/>
      <c r="BN15" s="246"/>
      <c r="BO15" s="246"/>
      <c r="BP15" s="246"/>
      <c r="BQ15" s="246"/>
      <c r="BR15" s="246"/>
      <c r="BS15" s="246"/>
      <c r="BT15" s="246"/>
      <c r="BU15" s="246"/>
      <c r="BV15" s="246"/>
      <c r="BW15" s="246"/>
      <c r="BX15" s="246"/>
      <c r="BY15" s="246"/>
      <c r="BZ15" s="246"/>
      <c r="CA15" s="246"/>
      <c r="CB15" s="246"/>
      <c r="CC15" s="246"/>
      <c r="CD15" s="246"/>
      <c r="CE15" s="246"/>
      <c r="CF15" s="246"/>
      <c r="CG15" s="246"/>
      <c r="CH15" s="246"/>
      <c r="CI15" s="246"/>
      <c r="CJ15" s="246"/>
      <c r="CK15" s="246"/>
      <c r="CL15" s="246"/>
      <c r="CM15" s="246"/>
      <c r="CN15" s="246"/>
      <c r="CO15" s="246"/>
      <c r="CP15" s="246"/>
      <c r="CQ15" s="246"/>
      <c r="CR15" s="246"/>
      <c r="CS15" s="246"/>
      <c r="CT15" s="246"/>
      <c r="CU15" s="246"/>
      <c r="CV15" s="246"/>
      <c r="CW15" s="246"/>
      <c r="CX15" s="246"/>
      <c r="CY15" s="246"/>
      <c r="CZ15" s="246"/>
      <c r="DA15" s="246"/>
      <c r="DB15" s="246"/>
      <c r="DC15" s="246"/>
      <c r="DD15" s="246"/>
      <c r="DE15" s="246"/>
      <c r="DF15" s="246"/>
      <c r="DG15" s="246"/>
      <c r="DH15" s="246"/>
      <c r="DI15" s="246"/>
      <c r="DJ15" s="246"/>
      <c r="DK15" s="246"/>
      <c r="DL15" s="246"/>
      <c r="DM15" s="246"/>
      <c r="DN15" s="246"/>
      <c r="DO15" s="246"/>
      <c r="DP15" s="246"/>
      <c r="DQ15" s="246"/>
      <c r="DR15" s="246"/>
      <c r="DS15" s="246"/>
      <c r="DT15" s="246"/>
      <c r="DU15" s="246"/>
      <c r="DV15" s="246"/>
      <c r="DW15" s="246"/>
      <c r="DX15" s="246"/>
      <c r="DY15" s="246"/>
      <c r="DZ15" s="246"/>
      <c r="EA15" s="246"/>
      <c r="EB15" s="246"/>
      <c r="EC15" s="246"/>
      <c r="ED15" s="246"/>
      <c r="EE15" s="246"/>
      <c r="EF15" s="246"/>
      <c r="EG15" s="246"/>
      <c r="EH15" s="246"/>
      <c r="EI15" s="246"/>
      <c r="EJ15" s="246"/>
      <c r="EK15" s="246"/>
      <c r="EL15" s="246"/>
      <c r="EM15" s="246"/>
      <c r="EN15" s="246"/>
      <c r="EO15" s="246"/>
      <c r="EP15" s="246"/>
      <c r="EQ15" s="246"/>
      <c r="ER15" s="246"/>
      <c r="ES15" s="246"/>
      <c r="ET15" s="246"/>
      <c r="EU15" s="246"/>
      <c r="EV15" s="246"/>
      <c r="EW15" s="246"/>
      <c r="EX15" s="246"/>
      <c r="EY15" s="246"/>
      <c r="EZ15" s="246"/>
      <c r="FA15" s="246"/>
      <c r="FB15" s="246"/>
      <c r="FC15" s="246"/>
      <c r="FD15" s="246"/>
      <c r="FE15" s="246"/>
      <c r="FF15" s="246"/>
      <c r="FG15" s="246"/>
      <c r="FH15" s="246"/>
      <c r="FI15" s="246"/>
      <c r="FJ15" s="246"/>
      <c r="FK15" s="246"/>
      <c r="FL15" s="246"/>
      <c r="FM15" s="246"/>
      <c r="FN15" s="246"/>
      <c r="FO15" s="246"/>
      <c r="FP15" s="246"/>
      <c r="FQ15" s="246"/>
      <c r="FR15" s="246"/>
      <c r="FS15" s="246"/>
      <c r="FT15" s="246"/>
      <c r="FU15" s="246"/>
      <c r="FV15" s="246"/>
      <c r="FW15" s="246"/>
      <c r="FX15" s="246"/>
      <c r="FY15" s="246"/>
      <c r="FZ15" s="246"/>
      <c r="GA15" s="246"/>
      <c r="GB15" s="246"/>
      <c r="GC15" s="246"/>
      <c r="GD15" s="246"/>
    </row>
    <row r="16" spans="1:186">
      <c r="A16" s="246"/>
      <c r="B16" s="246"/>
      <c r="C16" s="246"/>
      <c r="D16" s="246"/>
      <c r="E16" s="246"/>
      <c r="F16" s="246"/>
      <c r="G16" s="246"/>
      <c r="H16" s="246"/>
      <c r="I16" s="246"/>
      <c r="J16" s="246"/>
      <c r="K16" s="246"/>
      <c r="L16" s="246"/>
      <c r="M16" s="246"/>
      <c r="N16" s="246"/>
      <c r="O16" s="246"/>
      <c r="P16" s="246"/>
      <c r="Q16" s="246"/>
      <c r="R16" s="246"/>
      <c r="S16" s="246"/>
      <c r="T16" s="246"/>
      <c r="U16" s="246"/>
      <c r="V16" s="246"/>
      <c r="W16" s="246"/>
      <c r="X16" s="246"/>
      <c r="Y16" s="246"/>
      <c r="Z16" s="246"/>
      <c r="AA16" s="246"/>
      <c r="AB16" s="246"/>
      <c r="AC16" s="246"/>
      <c r="AD16" s="246"/>
      <c r="AE16" s="246"/>
      <c r="AF16" s="246"/>
      <c r="AG16" s="246"/>
      <c r="AH16" s="246"/>
      <c r="AI16" s="246"/>
      <c r="AJ16" s="246"/>
      <c r="AK16" s="246"/>
      <c r="AL16" s="246"/>
      <c r="AM16" s="246"/>
      <c r="AN16" s="246"/>
      <c r="AO16" s="246"/>
      <c r="AP16" s="246"/>
      <c r="AQ16" s="246"/>
      <c r="AR16" s="246"/>
      <c r="AS16" s="246"/>
      <c r="AT16" s="246"/>
      <c r="AU16" s="246"/>
      <c r="AV16" s="246"/>
      <c r="AW16" s="246"/>
      <c r="AX16" s="246"/>
      <c r="AY16" s="246"/>
      <c r="AZ16" s="246"/>
      <c r="BA16" s="246"/>
      <c r="BB16" s="246"/>
      <c r="BC16" s="246"/>
      <c r="BD16" s="246"/>
      <c r="BE16" s="246"/>
      <c r="BF16" s="246"/>
      <c r="BG16" s="246"/>
      <c r="BH16" s="246"/>
      <c r="BI16" s="246"/>
      <c r="BJ16" s="246"/>
      <c r="BK16" s="246"/>
      <c r="BL16" s="246"/>
      <c r="BM16" s="246"/>
      <c r="BN16" s="246"/>
      <c r="BO16" s="246"/>
      <c r="BP16" s="246"/>
      <c r="BQ16" s="246"/>
      <c r="BR16" s="246"/>
      <c r="BS16" s="246"/>
      <c r="BT16" s="246"/>
      <c r="BU16" s="246"/>
      <c r="BV16" s="246"/>
      <c r="BW16" s="246"/>
      <c r="BX16" s="246"/>
      <c r="BY16" s="246"/>
      <c r="BZ16" s="246"/>
      <c r="CA16" s="246"/>
      <c r="CB16" s="246"/>
      <c r="CC16" s="246"/>
      <c r="CD16" s="246"/>
      <c r="CE16" s="246"/>
      <c r="CF16" s="246"/>
      <c r="CG16" s="246"/>
      <c r="CH16" s="246"/>
      <c r="CI16" s="246"/>
      <c r="CJ16" s="246"/>
      <c r="CK16" s="246"/>
      <c r="CL16" s="246"/>
      <c r="CM16" s="246"/>
      <c r="CN16" s="246"/>
      <c r="CO16" s="246"/>
      <c r="CP16" s="246"/>
      <c r="CQ16" s="246"/>
      <c r="CR16" s="246"/>
      <c r="CS16" s="246"/>
      <c r="CT16" s="246"/>
      <c r="CU16" s="246"/>
      <c r="CV16" s="246"/>
      <c r="CW16" s="246"/>
      <c r="CX16" s="246"/>
      <c r="CY16" s="246"/>
      <c r="CZ16" s="246"/>
      <c r="DA16" s="246"/>
      <c r="DB16" s="246"/>
      <c r="DC16" s="246"/>
      <c r="DD16" s="246"/>
      <c r="DE16" s="246"/>
      <c r="DF16" s="246"/>
      <c r="DG16" s="246"/>
      <c r="DH16" s="246"/>
      <c r="DI16" s="246"/>
      <c r="DJ16" s="246"/>
      <c r="DK16" s="246"/>
      <c r="DL16" s="246"/>
      <c r="DM16" s="246"/>
      <c r="DN16" s="246"/>
      <c r="DO16" s="246"/>
      <c r="DP16" s="246"/>
      <c r="DQ16" s="246"/>
      <c r="DR16" s="246"/>
      <c r="DS16" s="246"/>
      <c r="DT16" s="246"/>
      <c r="DU16" s="246"/>
      <c r="DV16" s="246"/>
      <c r="DW16" s="246"/>
      <c r="DX16" s="246"/>
      <c r="DY16" s="246"/>
      <c r="DZ16" s="246"/>
      <c r="EA16" s="246"/>
      <c r="EB16" s="246"/>
      <c r="EC16" s="246"/>
      <c r="ED16" s="246"/>
      <c r="EE16" s="246"/>
      <c r="EF16" s="246"/>
      <c r="EG16" s="246"/>
      <c r="EH16" s="246"/>
      <c r="EI16" s="246"/>
      <c r="EJ16" s="246"/>
      <c r="EK16" s="246"/>
      <c r="EL16" s="246"/>
      <c r="EM16" s="246"/>
      <c r="EN16" s="246"/>
      <c r="EO16" s="246"/>
      <c r="EP16" s="246"/>
      <c r="EQ16" s="246"/>
      <c r="ER16" s="246"/>
      <c r="ES16" s="246"/>
      <c r="ET16" s="246"/>
      <c r="EU16" s="246"/>
      <c r="EV16" s="246"/>
      <c r="EW16" s="246"/>
      <c r="EX16" s="246"/>
      <c r="EY16" s="246"/>
      <c r="EZ16" s="246"/>
      <c r="FA16" s="246"/>
      <c r="FB16" s="246"/>
      <c r="FC16" s="246"/>
      <c r="FD16" s="246"/>
      <c r="FE16" s="246"/>
      <c r="FF16" s="246"/>
      <c r="FG16" s="246"/>
      <c r="FH16" s="246"/>
      <c r="FI16" s="246"/>
      <c r="FJ16" s="246"/>
      <c r="FK16" s="246"/>
      <c r="FL16" s="246"/>
      <c r="FM16" s="246"/>
      <c r="FN16" s="246"/>
      <c r="FO16" s="246"/>
      <c r="FP16" s="246"/>
      <c r="FQ16" s="246"/>
      <c r="FR16" s="246"/>
      <c r="FS16" s="246"/>
      <c r="FT16" s="246"/>
      <c r="FU16" s="246"/>
      <c r="FV16" s="246"/>
      <c r="FW16" s="246"/>
      <c r="FX16" s="246"/>
      <c r="FY16" s="246"/>
      <c r="FZ16" s="246"/>
      <c r="GA16" s="246"/>
      <c r="GB16" s="246"/>
      <c r="GC16" s="246"/>
      <c r="GD16" s="246"/>
    </row>
    <row r="17" spans="1:186">
      <c r="A17" s="246"/>
      <c r="B17" s="246"/>
      <c r="C17" s="246"/>
      <c r="D17" s="246"/>
      <c r="E17" s="246"/>
      <c r="F17" s="246"/>
      <c r="G17" s="246"/>
      <c r="H17" s="246"/>
      <c r="I17" s="246"/>
      <c r="J17" s="246"/>
      <c r="K17" s="246"/>
      <c r="L17" s="246"/>
      <c r="M17" s="246"/>
      <c r="N17" s="246"/>
      <c r="O17" s="246"/>
      <c r="P17" s="246"/>
      <c r="Q17" s="246"/>
      <c r="R17" s="246"/>
      <c r="S17" s="246"/>
      <c r="T17" s="246"/>
      <c r="U17" s="246"/>
      <c r="V17" s="246"/>
      <c r="W17" s="246"/>
      <c r="X17" s="246"/>
      <c r="Y17" s="246"/>
      <c r="Z17" s="246"/>
      <c r="AA17" s="246"/>
      <c r="AB17" s="246"/>
      <c r="AC17" s="246"/>
      <c r="AD17" s="246"/>
      <c r="AE17" s="246"/>
      <c r="AF17" s="246"/>
      <c r="AG17" s="246"/>
      <c r="AH17" s="246"/>
      <c r="AI17" s="246"/>
      <c r="AJ17" s="246"/>
      <c r="AK17" s="246"/>
      <c r="AL17" s="246"/>
      <c r="AM17" s="246"/>
      <c r="AN17" s="246"/>
      <c r="AO17" s="246"/>
      <c r="AP17" s="246"/>
      <c r="AQ17" s="246"/>
      <c r="AR17" s="246"/>
      <c r="AS17" s="246"/>
      <c r="AT17" s="246"/>
      <c r="AU17" s="246"/>
      <c r="AV17" s="246"/>
      <c r="AW17" s="246"/>
      <c r="AX17" s="246"/>
      <c r="AY17" s="246"/>
      <c r="AZ17" s="246"/>
      <c r="BA17" s="246"/>
      <c r="BB17" s="246"/>
      <c r="BC17" s="246"/>
      <c r="BD17" s="246"/>
      <c r="BE17" s="246"/>
      <c r="BF17" s="246"/>
      <c r="BG17" s="246"/>
      <c r="BH17" s="246"/>
      <c r="BI17" s="246"/>
      <c r="BJ17" s="246"/>
      <c r="BK17" s="246"/>
      <c r="BL17" s="246"/>
      <c r="BM17" s="246"/>
      <c r="BN17" s="246"/>
      <c r="BO17" s="246"/>
      <c r="BP17" s="246"/>
      <c r="BQ17" s="246"/>
      <c r="BR17" s="246"/>
      <c r="BS17" s="246"/>
      <c r="BT17" s="246"/>
      <c r="BU17" s="246"/>
      <c r="BV17" s="246"/>
      <c r="BW17" s="246"/>
      <c r="BX17" s="246"/>
      <c r="BY17" s="246"/>
      <c r="BZ17" s="246"/>
      <c r="CA17" s="246"/>
      <c r="CB17" s="246"/>
      <c r="CC17" s="246"/>
      <c r="CD17" s="246"/>
      <c r="CE17" s="246"/>
      <c r="CF17" s="246"/>
      <c r="CG17" s="246"/>
      <c r="CH17" s="246"/>
      <c r="CI17" s="246"/>
      <c r="CJ17" s="246"/>
      <c r="CK17" s="246"/>
      <c r="CL17" s="246"/>
      <c r="CM17" s="246"/>
      <c r="CN17" s="246"/>
      <c r="CO17" s="246"/>
      <c r="CP17" s="246"/>
      <c r="CQ17" s="246"/>
      <c r="CR17" s="246"/>
      <c r="CS17" s="246"/>
      <c r="CT17" s="246"/>
      <c r="CU17" s="246"/>
      <c r="CV17" s="246"/>
      <c r="CW17" s="246"/>
      <c r="CX17" s="246"/>
      <c r="CY17" s="246"/>
      <c r="CZ17" s="246"/>
      <c r="DA17" s="246"/>
      <c r="DB17" s="246"/>
      <c r="DC17" s="246"/>
      <c r="DD17" s="246"/>
      <c r="DE17" s="246"/>
      <c r="DF17" s="246"/>
      <c r="DG17" s="246"/>
      <c r="DH17" s="246"/>
      <c r="DI17" s="246"/>
      <c r="DJ17" s="246"/>
      <c r="DK17" s="246"/>
      <c r="DL17" s="246"/>
      <c r="DM17" s="246"/>
      <c r="DN17" s="246"/>
      <c r="DO17" s="246"/>
      <c r="DP17" s="246"/>
      <c r="DQ17" s="246"/>
      <c r="DR17" s="246"/>
      <c r="DS17" s="246"/>
      <c r="DT17" s="246"/>
      <c r="DU17" s="246"/>
      <c r="DV17" s="246"/>
      <c r="DW17" s="246"/>
      <c r="DX17" s="246"/>
      <c r="DY17" s="246"/>
      <c r="DZ17" s="246"/>
      <c r="EA17" s="246"/>
      <c r="EB17" s="246"/>
      <c r="EC17" s="246"/>
      <c r="ED17" s="246"/>
      <c r="EE17" s="246"/>
      <c r="EF17" s="246"/>
      <c r="EG17" s="246"/>
      <c r="EH17" s="246"/>
      <c r="EI17" s="246"/>
      <c r="EJ17" s="246"/>
      <c r="EK17" s="246"/>
      <c r="EL17" s="246"/>
      <c r="EM17" s="246"/>
      <c r="EN17" s="246"/>
      <c r="EO17" s="246"/>
      <c r="EP17" s="246"/>
      <c r="EQ17" s="246"/>
      <c r="ER17" s="246"/>
      <c r="ES17" s="246"/>
      <c r="ET17" s="246"/>
      <c r="EU17" s="246"/>
      <c r="EV17" s="246"/>
      <c r="EW17" s="246"/>
      <c r="EX17" s="246"/>
      <c r="EY17" s="246"/>
      <c r="EZ17" s="246"/>
      <c r="FA17" s="246"/>
      <c r="FB17" s="246"/>
      <c r="FC17" s="246"/>
      <c r="FD17" s="246"/>
      <c r="FE17" s="246"/>
      <c r="FF17" s="246"/>
      <c r="FG17" s="246"/>
      <c r="FH17" s="246"/>
      <c r="FI17" s="246"/>
      <c r="FJ17" s="246"/>
      <c r="FK17" s="246"/>
      <c r="FL17" s="246"/>
      <c r="FM17" s="246"/>
      <c r="FN17" s="246"/>
      <c r="FO17" s="246"/>
      <c r="FP17" s="246"/>
      <c r="FQ17" s="246"/>
      <c r="FR17" s="246"/>
      <c r="FS17" s="246"/>
      <c r="FT17" s="246"/>
      <c r="FU17" s="246"/>
      <c r="FV17" s="246"/>
      <c r="FW17" s="246"/>
      <c r="FX17" s="246"/>
      <c r="FY17" s="246"/>
      <c r="FZ17" s="246"/>
      <c r="GA17" s="246"/>
      <c r="GB17" s="246"/>
      <c r="GC17" s="246"/>
      <c r="GD17" s="246"/>
    </row>
    <row r="18" spans="1:186">
      <c r="A18" s="246"/>
      <c r="B18" s="246"/>
      <c r="C18" s="246"/>
      <c r="D18" s="246"/>
      <c r="E18" s="246"/>
      <c r="F18" s="246"/>
      <c r="G18" s="246"/>
      <c r="H18" s="246"/>
      <c r="I18" s="246"/>
      <c r="J18" s="246"/>
      <c r="K18" s="246"/>
      <c r="L18" s="246"/>
      <c r="M18" s="246"/>
      <c r="N18" s="246"/>
      <c r="O18" s="246"/>
      <c r="P18" s="246"/>
      <c r="Q18" s="246"/>
      <c r="R18" s="246"/>
      <c r="S18" s="246"/>
      <c r="T18" s="246"/>
      <c r="U18" s="246"/>
      <c r="V18" s="246"/>
      <c r="W18" s="246"/>
      <c r="X18" s="246"/>
      <c r="Y18" s="246"/>
      <c r="Z18" s="246"/>
      <c r="AA18" s="246"/>
      <c r="AB18" s="246"/>
      <c r="AC18" s="246"/>
      <c r="AD18" s="246"/>
      <c r="AE18" s="246"/>
      <c r="AF18" s="246"/>
      <c r="AG18" s="246"/>
      <c r="AH18" s="246"/>
      <c r="AI18" s="246"/>
      <c r="AJ18" s="246"/>
      <c r="AK18" s="246"/>
      <c r="AL18" s="246"/>
      <c r="AM18" s="246"/>
      <c r="AN18" s="246"/>
      <c r="AO18" s="246"/>
      <c r="AP18" s="246"/>
      <c r="AQ18" s="246"/>
      <c r="AR18" s="246"/>
      <c r="AS18" s="246"/>
      <c r="AT18" s="246"/>
      <c r="AU18" s="246"/>
      <c r="AV18" s="246"/>
      <c r="AW18" s="246"/>
      <c r="AX18" s="246"/>
      <c r="AY18" s="246"/>
      <c r="AZ18" s="246"/>
      <c r="BA18" s="246"/>
      <c r="BB18" s="246"/>
      <c r="BC18" s="246"/>
      <c r="BD18" s="246"/>
      <c r="BE18" s="246"/>
      <c r="BF18" s="246"/>
      <c r="BG18" s="246"/>
      <c r="BH18" s="246"/>
      <c r="BI18" s="246"/>
      <c r="BJ18" s="246"/>
      <c r="BK18" s="246"/>
      <c r="BL18" s="246"/>
      <c r="BM18" s="246"/>
      <c r="BN18" s="246"/>
      <c r="BO18" s="246"/>
      <c r="BP18" s="246"/>
      <c r="BQ18" s="246"/>
      <c r="BR18" s="246"/>
      <c r="BS18" s="246"/>
      <c r="BT18" s="246"/>
      <c r="BU18" s="246"/>
      <c r="BV18" s="246"/>
      <c r="BW18" s="246"/>
      <c r="BX18" s="246"/>
      <c r="BY18" s="246"/>
      <c r="BZ18" s="246"/>
      <c r="CA18" s="246"/>
      <c r="CB18" s="246"/>
      <c r="CC18" s="246"/>
      <c r="CD18" s="246"/>
      <c r="CE18" s="246"/>
      <c r="CF18" s="246"/>
      <c r="CG18" s="246"/>
      <c r="CH18" s="246"/>
      <c r="CI18" s="246"/>
      <c r="CJ18" s="246"/>
      <c r="CK18" s="246"/>
      <c r="CL18" s="246"/>
      <c r="CM18" s="246"/>
      <c r="CN18" s="246"/>
      <c r="CO18" s="246"/>
      <c r="CP18" s="246"/>
      <c r="CQ18" s="246"/>
      <c r="CR18" s="246"/>
      <c r="CS18" s="246"/>
      <c r="CT18" s="246"/>
      <c r="CU18" s="246"/>
      <c r="CV18" s="246"/>
      <c r="CW18" s="246"/>
      <c r="CX18" s="246"/>
      <c r="CY18" s="246"/>
      <c r="CZ18" s="246"/>
      <c r="DA18" s="246"/>
      <c r="DB18" s="246"/>
      <c r="DC18" s="246"/>
      <c r="DD18" s="246"/>
      <c r="DE18" s="246"/>
      <c r="DF18" s="246"/>
      <c r="DG18" s="246"/>
      <c r="DH18" s="246"/>
      <c r="DI18" s="246"/>
      <c r="DJ18" s="246"/>
      <c r="DK18" s="246"/>
      <c r="DL18" s="246"/>
      <c r="DM18" s="246"/>
      <c r="DN18" s="246"/>
      <c r="DO18" s="246"/>
      <c r="DP18" s="246"/>
      <c r="DQ18" s="246"/>
      <c r="DR18" s="246"/>
      <c r="DS18" s="246"/>
      <c r="DT18" s="246"/>
      <c r="DU18" s="246"/>
      <c r="DV18" s="246"/>
      <c r="DW18" s="246"/>
      <c r="DX18" s="246"/>
      <c r="DY18" s="246"/>
      <c r="DZ18" s="246"/>
      <c r="EA18" s="246"/>
      <c r="EB18" s="246"/>
      <c r="EC18" s="246"/>
      <c r="ED18" s="246"/>
      <c r="EE18" s="246"/>
      <c r="EF18" s="246"/>
      <c r="EG18" s="246"/>
      <c r="EH18" s="246"/>
      <c r="EI18" s="246"/>
      <c r="EJ18" s="246"/>
      <c r="EK18" s="246"/>
      <c r="EL18" s="246"/>
      <c r="EM18" s="246"/>
      <c r="EN18" s="246"/>
      <c r="EO18" s="246"/>
      <c r="EP18" s="246"/>
      <c r="EQ18" s="246"/>
      <c r="ER18" s="246"/>
      <c r="ES18" s="246"/>
      <c r="ET18" s="246"/>
      <c r="EU18" s="246"/>
      <c r="EV18" s="246"/>
      <c r="EW18" s="246"/>
      <c r="EX18" s="246"/>
      <c r="EY18" s="246"/>
      <c r="EZ18" s="246"/>
      <c r="FA18" s="246"/>
      <c r="FB18" s="246"/>
      <c r="FC18" s="246"/>
      <c r="FD18" s="246"/>
      <c r="FE18" s="246"/>
      <c r="FF18" s="246"/>
      <c r="FG18" s="246"/>
      <c r="FH18" s="246"/>
      <c r="FI18" s="246"/>
      <c r="FJ18" s="246"/>
      <c r="FK18" s="246"/>
      <c r="FL18" s="246"/>
      <c r="FM18" s="246"/>
      <c r="FN18" s="246"/>
      <c r="FO18" s="246"/>
      <c r="FP18" s="246"/>
      <c r="FQ18" s="246"/>
      <c r="FR18" s="246"/>
      <c r="FS18" s="246"/>
      <c r="FT18" s="246"/>
      <c r="FU18" s="246"/>
      <c r="FV18" s="246"/>
      <c r="FW18" s="246"/>
      <c r="FX18" s="246"/>
      <c r="FY18" s="246"/>
      <c r="FZ18" s="246"/>
      <c r="GA18" s="246"/>
      <c r="GB18" s="246"/>
      <c r="GC18" s="246"/>
      <c r="GD18" s="246"/>
    </row>
    <row r="19" spans="1:186">
      <c r="A19" s="246"/>
      <c r="B19" s="246"/>
      <c r="C19" s="246"/>
      <c r="D19" s="246"/>
      <c r="E19" s="246"/>
      <c r="F19" s="246"/>
      <c r="G19" s="246"/>
      <c r="H19" s="246"/>
      <c r="I19" s="246"/>
      <c r="J19" s="246"/>
      <c r="K19" s="246"/>
      <c r="L19" s="246"/>
      <c r="M19" s="246"/>
      <c r="N19" s="246"/>
      <c r="O19" s="246"/>
      <c r="P19" s="246"/>
      <c r="Q19" s="246"/>
      <c r="R19" s="246"/>
      <c r="S19" s="246"/>
      <c r="T19" s="246"/>
      <c r="U19" s="246"/>
      <c r="V19" s="246"/>
      <c r="W19" s="246"/>
      <c r="X19" s="246"/>
      <c r="Y19" s="246"/>
      <c r="Z19" s="246"/>
      <c r="AA19" s="246"/>
      <c r="AB19" s="246"/>
      <c r="AC19" s="246"/>
      <c r="AD19" s="246"/>
      <c r="AE19" s="246"/>
      <c r="AF19" s="246"/>
      <c r="AG19" s="246"/>
      <c r="AH19" s="246"/>
      <c r="AI19" s="246"/>
      <c r="AJ19" s="246"/>
      <c r="AK19" s="246"/>
      <c r="AL19" s="246"/>
      <c r="AM19" s="246"/>
      <c r="AN19" s="246"/>
      <c r="AO19" s="246"/>
      <c r="AP19" s="246"/>
      <c r="AQ19" s="246"/>
      <c r="AR19" s="246"/>
      <c r="AS19" s="246"/>
      <c r="AT19" s="246"/>
      <c r="AU19" s="246"/>
      <c r="AV19" s="246"/>
      <c r="AW19" s="246"/>
      <c r="AX19" s="246"/>
      <c r="AY19" s="246"/>
      <c r="AZ19" s="246"/>
      <c r="BA19" s="246"/>
      <c r="BB19" s="246"/>
      <c r="BC19" s="246"/>
      <c r="BD19" s="246"/>
      <c r="BE19" s="246"/>
      <c r="BF19" s="246"/>
      <c r="BG19" s="246"/>
      <c r="BH19" s="246"/>
      <c r="BI19" s="246"/>
      <c r="BJ19" s="246"/>
      <c r="BK19" s="246"/>
      <c r="BL19" s="246"/>
      <c r="BM19" s="246"/>
      <c r="BN19" s="246"/>
      <c r="BO19" s="246"/>
      <c r="BP19" s="246"/>
      <c r="BQ19" s="246"/>
      <c r="BR19" s="246"/>
      <c r="BS19" s="246"/>
      <c r="BT19" s="246"/>
      <c r="BU19" s="246"/>
      <c r="BV19" s="246"/>
      <c r="BW19" s="246"/>
      <c r="BX19" s="246"/>
      <c r="BY19" s="246"/>
      <c r="BZ19" s="246"/>
      <c r="CA19" s="246"/>
      <c r="CB19" s="246"/>
      <c r="CC19" s="246"/>
      <c r="CD19" s="246"/>
      <c r="CE19" s="246"/>
      <c r="CF19" s="246"/>
      <c r="CG19" s="246"/>
      <c r="CH19" s="246"/>
      <c r="CI19" s="246"/>
      <c r="CJ19" s="246"/>
      <c r="CK19" s="246"/>
      <c r="CL19" s="246"/>
      <c r="CM19" s="246"/>
      <c r="CN19" s="246"/>
      <c r="CO19" s="246"/>
      <c r="CP19" s="246"/>
      <c r="CQ19" s="246"/>
      <c r="CR19" s="246"/>
      <c r="CS19" s="246"/>
      <c r="CT19" s="246"/>
      <c r="CU19" s="246"/>
      <c r="CV19" s="246"/>
      <c r="CW19" s="246"/>
      <c r="CX19" s="246"/>
      <c r="CY19" s="246"/>
      <c r="CZ19" s="246"/>
      <c r="DA19" s="246"/>
      <c r="DB19" s="246"/>
      <c r="DC19" s="246"/>
      <c r="DD19" s="246"/>
      <c r="DE19" s="246"/>
      <c r="DF19" s="246"/>
      <c r="DG19" s="246"/>
      <c r="DH19" s="246"/>
      <c r="DI19" s="246"/>
      <c r="DJ19" s="246"/>
      <c r="DK19" s="246"/>
      <c r="DL19" s="246"/>
      <c r="DM19" s="246"/>
      <c r="DN19" s="246"/>
      <c r="DO19" s="246"/>
      <c r="DP19" s="246"/>
      <c r="DQ19" s="246"/>
      <c r="DR19" s="246"/>
      <c r="DS19" s="246"/>
      <c r="DT19" s="246"/>
      <c r="DU19" s="246"/>
      <c r="DV19" s="246"/>
      <c r="DW19" s="246"/>
      <c r="DX19" s="246"/>
      <c r="DY19" s="246"/>
      <c r="DZ19" s="246"/>
      <c r="EA19" s="246"/>
      <c r="EB19" s="246"/>
      <c r="EC19" s="246"/>
      <c r="ED19" s="246"/>
      <c r="EE19" s="246"/>
      <c r="EF19" s="246"/>
      <c r="EG19" s="246"/>
      <c r="EH19" s="246"/>
      <c r="EI19" s="246"/>
      <c r="EJ19" s="246"/>
      <c r="EK19" s="246"/>
      <c r="EL19" s="246"/>
      <c r="EM19" s="246"/>
      <c r="EN19" s="246"/>
      <c r="EO19" s="246"/>
      <c r="EP19" s="246"/>
      <c r="EQ19" s="246"/>
      <c r="ER19" s="246"/>
      <c r="ES19" s="246"/>
      <c r="ET19" s="246"/>
      <c r="EU19" s="246"/>
      <c r="EV19" s="246"/>
      <c r="EW19" s="246"/>
      <c r="EX19" s="246"/>
      <c r="EY19" s="246"/>
      <c r="EZ19" s="246"/>
      <c r="FA19" s="246"/>
      <c r="FB19" s="246"/>
      <c r="FC19" s="246"/>
      <c r="FD19" s="246"/>
      <c r="FE19" s="246"/>
      <c r="FF19" s="246"/>
      <c r="FG19" s="246"/>
      <c r="FH19" s="246"/>
      <c r="FI19" s="246"/>
      <c r="FJ19" s="246"/>
      <c r="FK19" s="246"/>
      <c r="FL19" s="246"/>
      <c r="FM19" s="246"/>
      <c r="FN19" s="246"/>
      <c r="FO19" s="246"/>
      <c r="FP19" s="246"/>
      <c r="FQ19" s="246"/>
      <c r="FR19" s="246"/>
      <c r="FS19" s="246"/>
      <c r="FT19" s="246"/>
      <c r="FU19" s="246"/>
      <c r="FV19" s="246"/>
      <c r="FW19" s="246"/>
      <c r="FX19" s="246"/>
      <c r="FY19" s="246"/>
      <c r="FZ19" s="246"/>
      <c r="GA19" s="246"/>
      <c r="GB19" s="246"/>
      <c r="GC19" s="246"/>
      <c r="GD19" s="246"/>
    </row>
    <row r="20" spans="1:186">
      <c r="A20" s="246"/>
      <c r="B20" s="246"/>
      <c r="C20" s="246"/>
      <c r="D20" s="246"/>
      <c r="E20" s="246"/>
      <c r="F20" s="246"/>
      <c r="G20" s="246"/>
      <c r="H20" s="246"/>
      <c r="I20" s="246"/>
      <c r="J20" s="246"/>
      <c r="K20" s="246"/>
      <c r="L20" s="246"/>
      <c r="M20" s="246"/>
      <c r="N20" s="246"/>
      <c r="O20" s="246"/>
      <c r="P20" s="246"/>
      <c r="Q20" s="246"/>
      <c r="R20" s="246"/>
      <c r="S20" s="246"/>
      <c r="T20" s="246"/>
      <c r="U20" s="246"/>
      <c r="V20" s="246"/>
      <c r="W20" s="246"/>
      <c r="X20" s="246"/>
      <c r="Y20" s="246"/>
      <c r="Z20" s="246"/>
      <c r="AA20" s="246"/>
      <c r="AB20" s="246"/>
      <c r="AC20" s="246"/>
      <c r="AD20" s="246"/>
      <c r="AE20" s="246"/>
      <c r="AF20" s="246"/>
      <c r="AG20" s="246"/>
      <c r="AH20" s="246"/>
      <c r="AI20" s="246"/>
      <c r="AJ20" s="246"/>
      <c r="AK20" s="246"/>
      <c r="AL20" s="246"/>
      <c r="AM20" s="246"/>
      <c r="AN20" s="246"/>
      <c r="AO20" s="246"/>
      <c r="AP20" s="246"/>
      <c r="AQ20" s="246"/>
      <c r="AR20" s="246"/>
      <c r="AS20" s="246"/>
      <c r="AT20" s="246"/>
      <c r="AU20" s="246"/>
      <c r="AV20" s="246"/>
      <c r="AW20" s="246"/>
      <c r="AX20" s="246"/>
      <c r="AY20" s="246"/>
      <c r="AZ20" s="246"/>
      <c r="BA20" s="246"/>
      <c r="BB20" s="246"/>
      <c r="BC20" s="246"/>
      <c r="BD20" s="246"/>
      <c r="BE20" s="246"/>
      <c r="BF20" s="246"/>
      <c r="BG20" s="246"/>
      <c r="BH20" s="246"/>
      <c r="BI20" s="246"/>
      <c r="BJ20" s="246"/>
      <c r="BK20" s="246"/>
      <c r="BL20" s="246"/>
      <c r="BM20" s="246"/>
      <c r="BN20" s="246"/>
      <c r="BO20" s="246"/>
      <c r="BP20" s="246"/>
      <c r="BQ20" s="246"/>
      <c r="BR20" s="246"/>
      <c r="BS20" s="246"/>
      <c r="BT20" s="246"/>
      <c r="BU20" s="246"/>
      <c r="BV20" s="246"/>
      <c r="BW20" s="246"/>
      <c r="BX20" s="246"/>
      <c r="BY20" s="246"/>
      <c r="BZ20" s="246"/>
      <c r="CA20" s="246"/>
      <c r="CB20" s="246"/>
      <c r="CC20" s="246"/>
      <c r="CD20" s="246"/>
      <c r="CE20" s="246"/>
      <c r="CF20" s="246"/>
      <c r="CG20" s="246"/>
      <c r="CH20" s="246"/>
      <c r="CI20" s="246"/>
      <c r="CJ20" s="246"/>
      <c r="CK20" s="246"/>
      <c r="CL20" s="246"/>
      <c r="CM20" s="246"/>
      <c r="CN20" s="246"/>
      <c r="CO20" s="246"/>
      <c r="CP20" s="246"/>
      <c r="CQ20" s="246"/>
      <c r="CR20" s="246"/>
      <c r="CS20" s="246"/>
      <c r="CT20" s="246"/>
      <c r="CU20" s="246"/>
      <c r="CV20" s="246"/>
      <c r="CW20" s="246"/>
      <c r="CX20" s="246"/>
      <c r="CY20" s="246"/>
      <c r="CZ20" s="246"/>
      <c r="DA20" s="246"/>
      <c r="DB20" s="246"/>
      <c r="DC20" s="246"/>
      <c r="DD20" s="246"/>
      <c r="DE20" s="246"/>
      <c r="DF20" s="246"/>
      <c r="DG20" s="246"/>
      <c r="DH20" s="246"/>
      <c r="DI20" s="246"/>
      <c r="DJ20" s="246"/>
      <c r="DK20" s="246"/>
      <c r="DL20" s="246"/>
      <c r="DM20" s="246"/>
      <c r="DN20" s="246"/>
      <c r="DO20" s="246"/>
      <c r="DP20" s="246"/>
      <c r="DQ20" s="246"/>
      <c r="DR20" s="246"/>
      <c r="DS20" s="246"/>
      <c r="DT20" s="246"/>
      <c r="DU20" s="246"/>
      <c r="DV20" s="246"/>
      <c r="DW20" s="246"/>
      <c r="DX20" s="246"/>
      <c r="DY20" s="246"/>
      <c r="DZ20" s="246"/>
      <c r="EA20" s="246"/>
      <c r="EB20" s="246"/>
      <c r="EC20" s="246"/>
      <c r="ED20" s="246"/>
      <c r="EE20" s="246"/>
      <c r="EF20" s="246"/>
      <c r="EG20" s="246"/>
      <c r="EH20" s="246"/>
      <c r="EI20" s="246"/>
      <c r="EJ20" s="246"/>
      <c r="EK20" s="246"/>
      <c r="EL20" s="246"/>
      <c r="EM20" s="246"/>
      <c r="EN20" s="246"/>
      <c r="EO20" s="246"/>
      <c r="EP20" s="246"/>
      <c r="EQ20" s="246"/>
      <c r="ER20" s="246"/>
      <c r="ES20" s="246"/>
      <c r="ET20" s="246"/>
      <c r="EU20" s="246"/>
      <c r="EV20" s="246"/>
      <c r="EW20" s="246"/>
      <c r="EX20" s="246"/>
      <c r="EY20" s="246"/>
      <c r="EZ20" s="246"/>
      <c r="FA20" s="246"/>
      <c r="FB20" s="246"/>
      <c r="FC20" s="246"/>
      <c r="FD20" s="246"/>
      <c r="FE20" s="246"/>
      <c r="FF20" s="246"/>
      <c r="FG20" s="246"/>
      <c r="FH20" s="246"/>
      <c r="FI20" s="246"/>
      <c r="FJ20" s="246"/>
      <c r="FK20" s="246"/>
      <c r="FL20" s="246"/>
      <c r="FM20" s="246"/>
      <c r="FN20" s="246"/>
      <c r="FO20" s="246"/>
      <c r="FP20" s="246"/>
      <c r="FQ20" s="246"/>
      <c r="FR20" s="246"/>
      <c r="FS20" s="246"/>
      <c r="FT20" s="246"/>
      <c r="FU20" s="246"/>
      <c r="FV20" s="246"/>
      <c r="FW20" s="246"/>
      <c r="FX20" s="246"/>
      <c r="FY20" s="246"/>
      <c r="FZ20" s="246"/>
      <c r="GA20" s="246"/>
      <c r="GB20" s="246"/>
      <c r="GC20" s="246"/>
      <c r="GD20" s="246"/>
    </row>
    <row r="21" spans="1:186">
      <c r="A21" s="246"/>
      <c r="B21" s="246"/>
      <c r="C21" s="246"/>
      <c r="D21" s="246"/>
      <c r="E21" s="246"/>
      <c r="F21" s="246"/>
      <c r="G21" s="246"/>
      <c r="H21" s="246"/>
      <c r="I21" s="246"/>
      <c r="J21" s="246"/>
      <c r="K21" s="246"/>
      <c r="L21" s="246"/>
      <c r="M21" s="246"/>
      <c r="N21" s="246"/>
      <c r="O21" s="246"/>
      <c r="P21" s="246"/>
      <c r="Q21" s="246"/>
      <c r="R21" s="246"/>
      <c r="S21" s="246"/>
      <c r="T21" s="246"/>
      <c r="U21" s="246"/>
      <c r="V21" s="246"/>
      <c r="W21" s="246"/>
      <c r="X21" s="246"/>
      <c r="Y21" s="246"/>
      <c r="Z21" s="246"/>
      <c r="AA21" s="246"/>
      <c r="AB21" s="246"/>
      <c r="AC21" s="246"/>
      <c r="AD21" s="246"/>
      <c r="AE21" s="246"/>
      <c r="AF21" s="246"/>
      <c r="AG21" s="246"/>
      <c r="AH21" s="246"/>
      <c r="AI21" s="246"/>
      <c r="AJ21" s="246"/>
      <c r="AK21" s="246"/>
      <c r="AL21" s="246"/>
      <c r="AM21" s="246"/>
      <c r="AN21" s="246"/>
      <c r="AO21" s="246"/>
      <c r="AP21" s="246"/>
      <c r="AQ21" s="246"/>
      <c r="AR21" s="246"/>
      <c r="AS21" s="246"/>
      <c r="AT21" s="246"/>
      <c r="AU21" s="246"/>
      <c r="AV21" s="246"/>
      <c r="AW21" s="246"/>
      <c r="AX21" s="246"/>
      <c r="AY21" s="246"/>
      <c r="AZ21" s="246"/>
      <c r="BA21" s="246"/>
      <c r="BB21" s="246"/>
      <c r="BC21" s="246"/>
      <c r="BD21" s="246"/>
      <c r="BE21" s="246"/>
      <c r="BF21" s="246"/>
      <c r="BG21" s="246"/>
      <c r="BH21" s="246"/>
      <c r="BI21" s="246"/>
      <c r="BJ21" s="246"/>
      <c r="BK21" s="246"/>
      <c r="BL21" s="246"/>
      <c r="BM21" s="246"/>
      <c r="BN21" s="246"/>
      <c r="BO21" s="246"/>
      <c r="BP21" s="246"/>
      <c r="BQ21" s="246"/>
      <c r="BR21" s="246"/>
      <c r="BS21" s="246"/>
      <c r="BT21" s="246"/>
      <c r="BU21" s="246"/>
      <c r="BV21" s="246"/>
      <c r="BW21" s="246"/>
      <c r="BX21" s="246"/>
      <c r="BY21" s="246"/>
      <c r="BZ21" s="246"/>
      <c r="CA21" s="246"/>
      <c r="CB21" s="246"/>
      <c r="CC21" s="246"/>
      <c r="CD21" s="246"/>
      <c r="CE21" s="246"/>
      <c r="CF21" s="246"/>
      <c r="CG21" s="246"/>
      <c r="CH21" s="246"/>
      <c r="CI21" s="246"/>
      <c r="CJ21" s="246"/>
      <c r="CK21" s="246"/>
      <c r="CL21" s="246"/>
      <c r="CM21" s="246"/>
      <c r="CN21" s="246"/>
      <c r="CO21" s="246"/>
      <c r="CP21" s="246"/>
      <c r="CQ21" s="246"/>
      <c r="CR21" s="246"/>
      <c r="CS21" s="246"/>
      <c r="CT21" s="246"/>
      <c r="CU21" s="246"/>
      <c r="CV21" s="246"/>
      <c r="CW21" s="246"/>
      <c r="CX21" s="246"/>
      <c r="CY21" s="246"/>
      <c r="CZ21" s="246"/>
      <c r="DA21" s="246"/>
      <c r="DB21" s="246"/>
      <c r="DC21" s="246"/>
      <c r="DD21" s="246"/>
      <c r="DE21" s="246"/>
      <c r="DF21" s="246"/>
      <c r="DG21" s="246"/>
      <c r="DH21" s="246"/>
      <c r="DI21" s="246"/>
      <c r="DJ21" s="246"/>
      <c r="DK21" s="246"/>
      <c r="DL21" s="246"/>
      <c r="DM21" s="246"/>
      <c r="DN21" s="246"/>
      <c r="DO21" s="246"/>
      <c r="DP21" s="246"/>
      <c r="DQ21" s="246"/>
      <c r="DR21" s="246"/>
      <c r="DS21" s="246"/>
      <c r="DT21" s="246"/>
      <c r="DU21" s="246"/>
      <c r="DV21" s="246"/>
      <c r="DW21" s="246"/>
      <c r="DX21" s="246"/>
      <c r="DY21" s="246"/>
      <c r="DZ21" s="246"/>
      <c r="EA21" s="246"/>
      <c r="EB21" s="246"/>
      <c r="EC21" s="246"/>
      <c r="ED21" s="246"/>
      <c r="EE21" s="246"/>
      <c r="EF21" s="246"/>
      <c r="EG21" s="246"/>
      <c r="EH21" s="246"/>
      <c r="EI21" s="246"/>
      <c r="EJ21" s="246"/>
      <c r="EK21" s="246"/>
      <c r="EL21" s="246"/>
      <c r="EM21" s="246"/>
      <c r="EN21" s="246"/>
      <c r="EO21" s="246"/>
      <c r="EP21" s="246"/>
      <c r="EQ21" s="246"/>
      <c r="ER21" s="246"/>
      <c r="ES21" s="246"/>
      <c r="ET21" s="246"/>
      <c r="EU21" s="246"/>
      <c r="EV21" s="246"/>
      <c r="EW21" s="246"/>
      <c r="EX21" s="246"/>
      <c r="EY21" s="246"/>
      <c r="EZ21" s="246"/>
      <c r="FA21" s="246"/>
      <c r="FB21" s="246"/>
      <c r="FC21" s="246"/>
      <c r="FD21" s="246"/>
      <c r="FE21" s="246"/>
      <c r="FF21" s="246"/>
      <c r="FG21" s="246"/>
      <c r="FH21" s="246"/>
      <c r="FI21" s="246"/>
      <c r="FJ21" s="246"/>
      <c r="FK21" s="246"/>
      <c r="FL21" s="246"/>
      <c r="FM21" s="246"/>
      <c r="FN21" s="246"/>
      <c r="FO21" s="246"/>
      <c r="FP21" s="246"/>
      <c r="FQ21" s="246"/>
      <c r="FR21" s="246"/>
      <c r="FS21" s="246"/>
      <c r="FT21" s="246"/>
      <c r="FU21" s="246"/>
      <c r="FV21" s="246"/>
      <c r="FW21" s="246"/>
      <c r="FX21" s="246"/>
      <c r="FY21" s="246"/>
      <c r="FZ21" s="246"/>
      <c r="GA21" s="246"/>
      <c r="GB21" s="246"/>
      <c r="GC21" s="246"/>
      <c r="GD21" s="246"/>
    </row>
    <row r="22" spans="1:186">
      <c r="A22" s="246"/>
      <c r="B22" s="246"/>
      <c r="C22" s="246"/>
      <c r="D22" s="246"/>
      <c r="E22" s="246"/>
      <c r="F22" s="246"/>
      <c r="G22" s="246"/>
      <c r="H22" s="246"/>
      <c r="I22" s="246"/>
      <c r="J22" s="246"/>
      <c r="K22" s="246"/>
      <c r="L22" s="246"/>
      <c r="M22" s="246"/>
      <c r="N22" s="246"/>
      <c r="O22" s="246"/>
      <c r="P22" s="246"/>
      <c r="Q22" s="246"/>
      <c r="R22" s="246"/>
      <c r="S22" s="246"/>
      <c r="T22" s="246"/>
      <c r="U22" s="246"/>
      <c r="V22" s="246"/>
      <c r="W22" s="246"/>
      <c r="X22" s="246"/>
      <c r="Y22" s="246"/>
      <c r="Z22" s="246"/>
      <c r="AA22" s="246"/>
      <c r="AB22" s="246"/>
      <c r="AC22" s="246"/>
      <c r="AD22" s="246"/>
      <c r="AE22" s="246"/>
      <c r="AF22" s="246"/>
      <c r="AG22" s="246"/>
      <c r="AH22" s="246"/>
      <c r="AI22" s="246"/>
      <c r="AJ22" s="246"/>
      <c r="AK22" s="246"/>
      <c r="AL22" s="246"/>
      <c r="AM22" s="246"/>
      <c r="AN22" s="246"/>
      <c r="AO22" s="246"/>
      <c r="AP22" s="246"/>
      <c r="AQ22" s="246"/>
      <c r="AR22" s="246"/>
      <c r="AS22" s="246"/>
      <c r="AT22" s="246"/>
      <c r="AU22" s="246"/>
      <c r="AV22" s="246"/>
      <c r="AW22" s="246"/>
      <c r="AX22" s="246"/>
      <c r="AY22" s="246"/>
      <c r="AZ22" s="246"/>
      <c r="BA22" s="246"/>
      <c r="BB22" s="246"/>
      <c r="BC22" s="246"/>
      <c r="BD22" s="246"/>
      <c r="BE22" s="246"/>
      <c r="BF22" s="246"/>
      <c r="BG22" s="246"/>
      <c r="BH22" s="246"/>
      <c r="BI22" s="246"/>
      <c r="BJ22" s="246"/>
      <c r="BK22" s="246"/>
      <c r="BL22" s="246"/>
      <c r="BM22" s="246"/>
      <c r="BN22" s="246"/>
      <c r="BO22" s="246"/>
      <c r="BP22" s="246"/>
      <c r="BQ22" s="246"/>
      <c r="BR22" s="246"/>
      <c r="BS22" s="246"/>
      <c r="BT22" s="246"/>
      <c r="BU22" s="246"/>
      <c r="BV22" s="246"/>
      <c r="BW22" s="246"/>
      <c r="BX22" s="246"/>
      <c r="BY22" s="246"/>
      <c r="BZ22" s="246"/>
      <c r="CA22" s="246"/>
      <c r="CB22" s="246"/>
      <c r="CC22" s="246"/>
      <c r="CD22" s="246"/>
      <c r="CE22" s="246"/>
      <c r="CF22" s="246"/>
      <c r="CG22" s="246"/>
      <c r="CH22" s="246"/>
      <c r="CI22" s="246"/>
      <c r="CJ22" s="246"/>
      <c r="CK22" s="246"/>
      <c r="CL22" s="246"/>
      <c r="CM22" s="246"/>
      <c r="CN22" s="246"/>
      <c r="CO22" s="246"/>
      <c r="CP22" s="246"/>
      <c r="CQ22" s="246"/>
      <c r="CR22" s="246"/>
      <c r="CS22" s="246"/>
      <c r="CT22" s="246"/>
      <c r="CU22" s="246"/>
      <c r="CV22" s="246"/>
      <c r="CW22" s="246"/>
      <c r="CX22" s="246"/>
      <c r="CY22" s="246"/>
      <c r="CZ22" s="246"/>
      <c r="DA22" s="246"/>
      <c r="DB22" s="246"/>
      <c r="DC22" s="246"/>
      <c r="DD22" s="246"/>
      <c r="DE22" s="246"/>
      <c r="DF22" s="246"/>
      <c r="DG22" s="246"/>
      <c r="DH22" s="246"/>
      <c r="DI22" s="246"/>
      <c r="DJ22" s="246"/>
      <c r="DK22" s="246"/>
      <c r="DL22" s="246"/>
      <c r="DM22" s="246"/>
      <c r="DN22" s="246"/>
      <c r="DO22" s="246"/>
      <c r="DP22" s="246"/>
      <c r="DQ22" s="246"/>
      <c r="DR22" s="246"/>
      <c r="DS22" s="246"/>
      <c r="DT22" s="246"/>
      <c r="DU22" s="246"/>
      <c r="DV22" s="246"/>
      <c r="DW22" s="246"/>
      <c r="DX22" s="246"/>
      <c r="DY22" s="246"/>
      <c r="DZ22" s="246"/>
      <c r="EA22" s="246"/>
      <c r="EB22" s="246"/>
      <c r="EC22" s="246"/>
      <c r="ED22" s="246"/>
      <c r="EE22" s="246"/>
      <c r="EF22" s="246"/>
      <c r="EG22" s="246"/>
      <c r="EH22" s="246"/>
      <c r="EI22" s="246"/>
      <c r="EJ22" s="246"/>
      <c r="EK22" s="246"/>
      <c r="EL22" s="246"/>
      <c r="EM22" s="246"/>
      <c r="EN22" s="246"/>
      <c r="EO22" s="246"/>
      <c r="EP22" s="246"/>
      <c r="EQ22" s="246"/>
      <c r="ER22" s="246"/>
      <c r="ES22" s="246"/>
      <c r="ET22" s="246"/>
      <c r="EU22" s="246"/>
      <c r="EV22" s="246"/>
      <c r="EW22" s="246"/>
      <c r="EX22" s="246"/>
      <c r="EY22" s="246"/>
      <c r="EZ22" s="246"/>
      <c r="FA22" s="246"/>
      <c r="FB22" s="246"/>
      <c r="FC22" s="246"/>
      <c r="FD22" s="246"/>
      <c r="FE22" s="246"/>
      <c r="FF22" s="246"/>
      <c r="FG22" s="246"/>
      <c r="FH22" s="246"/>
      <c r="FI22" s="246"/>
      <c r="FJ22" s="246"/>
      <c r="FK22" s="246"/>
      <c r="FL22" s="246"/>
      <c r="FM22" s="246"/>
      <c r="FN22" s="246"/>
      <c r="FO22" s="246"/>
      <c r="FP22" s="246"/>
      <c r="FQ22" s="246"/>
      <c r="FR22" s="246"/>
      <c r="FS22" s="246"/>
      <c r="FT22" s="246"/>
      <c r="FU22" s="246"/>
      <c r="FV22" s="246"/>
      <c r="FW22" s="246"/>
      <c r="FX22" s="246"/>
      <c r="FY22" s="246"/>
      <c r="FZ22" s="246"/>
      <c r="GA22" s="246"/>
      <c r="GB22" s="246"/>
      <c r="GC22" s="246"/>
      <c r="GD22" s="246"/>
    </row>
    <row r="23" spans="1:186">
      <c r="A23" s="246"/>
      <c r="B23" s="246"/>
      <c r="C23" s="246"/>
      <c r="D23" s="246"/>
      <c r="E23" s="246"/>
      <c r="F23" s="246"/>
      <c r="G23" s="246"/>
      <c r="H23" s="246"/>
      <c r="I23" s="246"/>
      <c r="J23" s="246"/>
      <c r="K23" s="246"/>
      <c r="L23" s="246"/>
      <c r="M23" s="246"/>
      <c r="N23" s="246"/>
      <c r="O23" s="246"/>
      <c r="P23" s="246"/>
      <c r="Q23" s="246"/>
      <c r="R23" s="246"/>
      <c r="S23" s="246"/>
      <c r="T23" s="246"/>
      <c r="U23" s="246"/>
      <c r="V23" s="246"/>
      <c r="W23" s="246"/>
      <c r="X23" s="246"/>
      <c r="Y23" s="246"/>
      <c r="Z23" s="246"/>
      <c r="AA23" s="246"/>
      <c r="AB23" s="246"/>
      <c r="AC23" s="246"/>
      <c r="AD23" s="246"/>
      <c r="AE23" s="246"/>
      <c r="AF23" s="246"/>
      <c r="AG23" s="246"/>
      <c r="AH23" s="246"/>
      <c r="AI23" s="246"/>
      <c r="AJ23" s="246"/>
      <c r="AK23" s="246"/>
      <c r="AL23" s="246"/>
      <c r="AM23" s="246"/>
      <c r="AN23" s="246"/>
      <c r="AO23" s="246"/>
      <c r="AP23" s="246"/>
      <c r="AQ23" s="246"/>
      <c r="AR23" s="246"/>
      <c r="AS23" s="246"/>
      <c r="AT23" s="246"/>
      <c r="AU23" s="246"/>
      <c r="AV23" s="246"/>
      <c r="AW23" s="246"/>
      <c r="AX23" s="246"/>
      <c r="AY23" s="246"/>
      <c r="AZ23" s="246"/>
      <c r="BA23" s="246"/>
      <c r="BB23" s="246"/>
      <c r="BC23" s="246"/>
      <c r="BD23" s="246"/>
      <c r="BE23" s="246"/>
      <c r="BF23" s="246"/>
      <c r="BG23" s="246"/>
      <c r="BH23" s="246"/>
      <c r="BI23" s="246"/>
      <c r="BJ23" s="246"/>
      <c r="BK23" s="246"/>
      <c r="BL23" s="246"/>
      <c r="BM23" s="246"/>
      <c r="BN23" s="246"/>
      <c r="BO23" s="246"/>
      <c r="BP23" s="246"/>
      <c r="BQ23" s="246"/>
      <c r="BR23" s="246"/>
      <c r="BS23" s="246"/>
      <c r="BT23" s="246"/>
      <c r="BU23" s="246"/>
      <c r="BV23" s="246"/>
      <c r="BW23" s="246"/>
      <c r="BX23" s="246"/>
      <c r="BY23" s="246"/>
      <c r="BZ23" s="246"/>
      <c r="CA23" s="246"/>
      <c r="CB23" s="246"/>
      <c r="CC23" s="246"/>
      <c r="CD23" s="246"/>
      <c r="CE23" s="246"/>
      <c r="CF23" s="246"/>
      <c r="CG23" s="246"/>
      <c r="CH23" s="246"/>
      <c r="CI23" s="246"/>
      <c r="CJ23" s="246"/>
      <c r="CK23" s="246"/>
      <c r="CL23" s="246"/>
      <c r="CM23" s="246"/>
      <c r="CN23" s="246"/>
      <c r="CO23" s="246"/>
      <c r="CP23" s="246"/>
      <c r="CQ23" s="246"/>
      <c r="CR23" s="246"/>
      <c r="CS23" s="246"/>
      <c r="CT23" s="246"/>
      <c r="CU23" s="246"/>
      <c r="CV23" s="246"/>
      <c r="CW23" s="246"/>
      <c r="CX23" s="246"/>
      <c r="CY23" s="246"/>
      <c r="CZ23" s="246"/>
      <c r="DA23" s="246"/>
      <c r="DB23" s="246"/>
      <c r="DC23" s="246"/>
      <c r="DD23" s="246"/>
      <c r="DE23" s="246"/>
      <c r="DF23" s="246"/>
      <c r="DG23" s="246"/>
      <c r="DH23" s="246"/>
      <c r="DI23" s="246"/>
      <c r="DJ23" s="246"/>
      <c r="DK23" s="246"/>
      <c r="DL23" s="246"/>
      <c r="DM23" s="246"/>
      <c r="DN23" s="246"/>
      <c r="DO23" s="246"/>
      <c r="DP23" s="246"/>
      <c r="DQ23" s="246"/>
      <c r="DR23" s="246"/>
      <c r="DS23" s="246"/>
      <c r="DT23" s="246"/>
      <c r="DU23" s="246"/>
      <c r="DV23" s="246"/>
      <c r="DW23" s="246"/>
      <c r="DX23" s="246"/>
      <c r="DY23" s="246"/>
      <c r="DZ23" s="246"/>
      <c r="EA23" s="246"/>
      <c r="EB23" s="246"/>
      <c r="EC23" s="246"/>
      <c r="ED23" s="246"/>
      <c r="EE23" s="246"/>
      <c r="EF23" s="246"/>
      <c r="EG23" s="246"/>
      <c r="EH23" s="246"/>
      <c r="EI23" s="246"/>
      <c r="EJ23" s="246"/>
      <c r="EK23" s="246"/>
      <c r="EL23" s="246"/>
      <c r="EM23" s="246"/>
      <c r="EN23" s="246"/>
      <c r="EO23" s="246"/>
      <c r="EP23" s="246"/>
      <c r="EQ23" s="246"/>
      <c r="ER23" s="246"/>
      <c r="ES23" s="246"/>
      <c r="ET23" s="246"/>
      <c r="EU23" s="246"/>
      <c r="EV23" s="246"/>
      <c r="EW23" s="246"/>
      <c r="EX23" s="246"/>
      <c r="EY23" s="246"/>
      <c r="EZ23" s="246"/>
      <c r="FA23" s="246"/>
      <c r="FB23" s="246"/>
      <c r="FC23" s="246"/>
      <c r="FD23" s="246"/>
      <c r="FE23" s="246"/>
      <c r="FF23" s="246"/>
      <c r="FG23" s="246"/>
      <c r="FH23" s="246"/>
      <c r="FI23" s="246"/>
      <c r="FJ23" s="246"/>
      <c r="FK23" s="246"/>
      <c r="FL23" s="246"/>
      <c r="FM23" s="246"/>
      <c r="FN23" s="246"/>
      <c r="FO23" s="246"/>
      <c r="FP23" s="246"/>
      <c r="FQ23" s="246"/>
      <c r="FR23" s="246"/>
      <c r="FS23" s="246"/>
      <c r="FT23" s="246"/>
      <c r="FU23" s="246"/>
      <c r="FV23" s="246"/>
      <c r="FW23" s="246"/>
      <c r="FX23" s="246"/>
      <c r="FY23" s="246"/>
      <c r="FZ23" s="246"/>
      <c r="GA23" s="246"/>
      <c r="GB23" s="246"/>
      <c r="GC23" s="246"/>
      <c r="GD23" s="246"/>
    </row>
    <row r="24" spans="1:186">
      <c r="A24" s="246"/>
      <c r="B24" s="246"/>
      <c r="C24" s="246"/>
      <c r="D24" s="246"/>
      <c r="E24" s="246"/>
      <c r="F24" s="246"/>
      <c r="G24" s="246"/>
      <c r="H24" s="246"/>
      <c r="I24" s="246"/>
      <c r="J24" s="246"/>
      <c r="K24" s="246"/>
      <c r="L24" s="246"/>
      <c r="M24" s="246"/>
      <c r="N24" s="246"/>
      <c r="O24" s="246"/>
      <c r="P24" s="246"/>
      <c r="Q24" s="246"/>
      <c r="R24" s="246"/>
      <c r="S24" s="246"/>
      <c r="T24" s="246"/>
      <c r="U24" s="246"/>
      <c r="V24" s="246"/>
      <c r="W24" s="246"/>
      <c r="X24" s="246"/>
      <c r="Y24" s="246"/>
      <c r="Z24" s="246"/>
      <c r="AA24" s="246"/>
      <c r="AB24" s="246"/>
      <c r="AC24" s="246"/>
      <c r="AD24" s="246"/>
      <c r="AE24" s="246"/>
      <c r="AF24" s="246"/>
      <c r="AG24" s="246"/>
      <c r="AH24" s="246"/>
      <c r="AI24" s="246"/>
      <c r="AJ24" s="246"/>
      <c r="AK24" s="246"/>
      <c r="AL24" s="246"/>
      <c r="AM24" s="246"/>
      <c r="AN24" s="246"/>
      <c r="AO24" s="246"/>
      <c r="AP24" s="246"/>
      <c r="AQ24" s="246"/>
      <c r="AR24" s="246"/>
      <c r="AS24" s="246"/>
      <c r="AT24" s="246"/>
      <c r="AU24" s="246"/>
      <c r="AV24" s="246"/>
      <c r="AW24" s="246"/>
      <c r="AX24" s="246"/>
      <c r="AY24" s="246"/>
      <c r="AZ24" s="246"/>
      <c r="BA24" s="246"/>
      <c r="BB24" s="246"/>
      <c r="BC24" s="246"/>
      <c r="BD24" s="246"/>
      <c r="BE24" s="246"/>
      <c r="BF24" s="246"/>
      <c r="BG24" s="246"/>
      <c r="BH24" s="246"/>
      <c r="BI24" s="246"/>
      <c r="BJ24" s="246"/>
      <c r="BK24" s="246"/>
      <c r="BL24" s="246"/>
      <c r="BM24" s="246"/>
      <c r="BN24" s="246"/>
      <c r="BO24" s="246"/>
      <c r="BP24" s="246"/>
      <c r="BQ24" s="246"/>
      <c r="BR24" s="246"/>
      <c r="BS24" s="246"/>
      <c r="BT24" s="246"/>
      <c r="BU24" s="246"/>
      <c r="BV24" s="246"/>
      <c r="BW24" s="246"/>
      <c r="BX24" s="246"/>
      <c r="BY24" s="246"/>
      <c r="BZ24" s="246"/>
      <c r="CA24" s="246"/>
      <c r="CB24" s="246"/>
      <c r="CC24" s="246"/>
      <c r="CD24" s="246"/>
      <c r="CE24" s="246"/>
      <c r="CF24" s="246"/>
      <c r="CG24" s="246"/>
      <c r="CH24" s="246"/>
      <c r="CI24" s="246"/>
      <c r="CJ24" s="246"/>
      <c r="CK24" s="246"/>
      <c r="CL24" s="246"/>
      <c r="CM24" s="246"/>
      <c r="CN24" s="246"/>
      <c r="CO24" s="246"/>
      <c r="CP24" s="246"/>
      <c r="CQ24" s="246"/>
      <c r="CR24" s="246"/>
      <c r="CS24" s="246"/>
      <c r="CT24" s="246"/>
      <c r="CU24" s="246"/>
      <c r="CV24" s="246"/>
      <c r="CW24" s="246"/>
      <c r="CX24" s="246"/>
      <c r="CY24" s="246"/>
      <c r="CZ24" s="246"/>
      <c r="DA24" s="246"/>
      <c r="DB24" s="246"/>
      <c r="DC24" s="246"/>
      <c r="DD24" s="246"/>
      <c r="DE24" s="246"/>
      <c r="DF24" s="246"/>
      <c r="DG24" s="246"/>
      <c r="DH24" s="246"/>
      <c r="DI24" s="246"/>
      <c r="DJ24" s="246"/>
      <c r="DK24" s="246"/>
      <c r="DL24" s="246"/>
      <c r="DM24" s="246"/>
      <c r="DN24" s="246"/>
      <c r="DO24" s="246"/>
      <c r="DP24" s="246"/>
      <c r="DQ24" s="246"/>
      <c r="DR24" s="246"/>
      <c r="DS24" s="246"/>
      <c r="DT24" s="246"/>
      <c r="DU24" s="246"/>
      <c r="DV24" s="246"/>
      <c r="DW24" s="246"/>
      <c r="DX24" s="246"/>
      <c r="DY24" s="246"/>
      <c r="DZ24" s="246"/>
      <c r="EA24" s="246"/>
      <c r="EB24" s="246"/>
      <c r="EC24" s="246"/>
      <c r="ED24" s="246"/>
      <c r="EE24" s="246"/>
      <c r="EF24" s="246"/>
      <c r="EG24" s="246"/>
      <c r="EH24" s="246"/>
      <c r="EI24" s="246"/>
      <c r="EJ24" s="246"/>
      <c r="EK24" s="246"/>
      <c r="EL24" s="246"/>
      <c r="EM24" s="246"/>
      <c r="EN24" s="246"/>
      <c r="EO24" s="246"/>
      <c r="EP24" s="246"/>
      <c r="EQ24" s="246"/>
      <c r="ER24" s="246"/>
      <c r="ES24" s="246"/>
      <c r="ET24" s="246"/>
      <c r="EU24" s="246"/>
      <c r="EV24" s="246"/>
      <c r="EW24" s="246"/>
      <c r="EX24" s="246"/>
      <c r="EY24" s="246"/>
      <c r="EZ24" s="246"/>
      <c r="FA24" s="246"/>
      <c r="FB24" s="246"/>
      <c r="FC24" s="246"/>
      <c r="FD24" s="246"/>
      <c r="FE24" s="246"/>
      <c r="FF24" s="246"/>
      <c r="FG24" s="246"/>
      <c r="FH24" s="246"/>
      <c r="FI24" s="246"/>
      <c r="FJ24" s="246"/>
      <c r="FK24" s="246"/>
      <c r="FL24" s="246"/>
      <c r="FM24" s="246"/>
      <c r="FN24" s="246"/>
      <c r="FO24" s="246"/>
      <c r="FP24" s="246"/>
      <c r="FQ24" s="246"/>
      <c r="FR24" s="246"/>
      <c r="FS24" s="246"/>
      <c r="FT24" s="246"/>
      <c r="FU24" s="246"/>
      <c r="FV24" s="246"/>
      <c r="FW24" s="246"/>
      <c r="FX24" s="246"/>
      <c r="FY24" s="246"/>
      <c r="FZ24" s="246"/>
      <c r="GA24" s="246"/>
      <c r="GB24" s="246"/>
      <c r="GC24" s="246"/>
      <c r="GD24" s="246"/>
    </row>
    <row r="25" spans="1:186">
      <c r="A25" s="246"/>
      <c r="B25" s="246"/>
      <c r="C25" s="246"/>
      <c r="D25" s="246"/>
      <c r="E25" s="246"/>
      <c r="F25" s="246"/>
      <c r="G25" s="246"/>
      <c r="H25" s="246"/>
      <c r="I25" s="246"/>
      <c r="J25" s="246"/>
      <c r="K25" s="246"/>
      <c r="L25" s="246"/>
      <c r="M25" s="246"/>
      <c r="N25" s="246"/>
      <c r="O25" s="246"/>
      <c r="P25" s="246"/>
      <c r="Q25" s="246"/>
      <c r="R25" s="246"/>
      <c r="S25" s="246"/>
      <c r="T25" s="246"/>
      <c r="U25" s="246"/>
      <c r="V25" s="246"/>
      <c r="W25" s="246"/>
      <c r="X25" s="246"/>
      <c r="Y25" s="246"/>
      <c r="Z25" s="246"/>
      <c r="AA25" s="246"/>
      <c r="AB25" s="246"/>
      <c r="AC25" s="246"/>
      <c r="AD25" s="246"/>
      <c r="AE25" s="246"/>
      <c r="AF25" s="246"/>
      <c r="AG25" s="246"/>
      <c r="AH25" s="246"/>
      <c r="AI25" s="246"/>
      <c r="AJ25" s="246"/>
      <c r="AK25" s="246"/>
      <c r="AL25" s="246"/>
      <c r="AM25" s="246"/>
      <c r="AN25" s="246"/>
      <c r="AO25" s="246"/>
      <c r="AP25" s="246"/>
      <c r="AQ25" s="246"/>
      <c r="AR25" s="246"/>
      <c r="AS25" s="246"/>
      <c r="AT25" s="246"/>
      <c r="AU25" s="246"/>
      <c r="AV25" s="246"/>
      <c r="AW25" s="246"/>
      <c r="AX25" s="246"/>
      <c r="AY25" s="246"/>
      <c r="AZ25" s="246"/>
      <c r="BA25" s="246"/>
      <c r="BB25" s="246"/>
      <c r="BC25" s="246"/>
      <c r="BD25" s="246"/>
      <c r="BE25" s="246"/>
      <c r="BF25" s="246"/>
      <c r="BG25" s="246"/>
      <c r="BH25" s="246"/>
      <c r="BI25" s="246"/>
      <c r="BJ25" s="246"/>
      <c r="BK25" s="246"/>
      <c r="BL25" s="246"/>
      <c r="BM25" s="246"/>
      <c r="BN25" s="246"/>
      <c r="BO25" s="246"/>
      <c r="BP25" s="246"/>
      <c r="BQ25" s="246"/>
      <c r="BR25" s="246"/>
      <c r="BS25" s="246"/>
      <c r="BT25" s="246"/>
      <c r="BU25" s="246"/>
      <c r="BV25" s="246"/>
      <c r="BW25" s="246"/>
      <c r="BX25" s="246"/>
      <c r="BY25" s="246"/>
      <c r="BZ25" s="246"/>
      <c r="CA25" s="246"/>
      <c r="CB25" s="246"/>
      <c r="CC25" s="246"/>
      <c r="CD25" s="246"/>
      <c r="CE25" s="246"/>
      <c r="CF25" s="246"/>
      <c r="CG25" s="246"/>
      <c r="CH25" s="246"/>
      <c r="CI25" s="246"/>
      <c r="CJ25" s="246"/>
      <c r="CK25" s="246"/>
      <c r="CL25" s="246"/>
      <c r="CM25" s="246"/>
      <c r="CN25" s="246"/>
      <c r="CO25" s="246"/>
      <c r="CP25" s="246"/>
      <c r="CQ25" s="246"/>
      <c r="CR25" s="246"/>
      <c r="CS25" s="246"/>
      <c r="CT25" s="246"/>
      <c r="CU25" s="246"/>
      <c r="CV25" s="246"/>
      <c r="CW25" s="246"/>
      <c r="CX25" s="246"/>
      <c r="CY25" s="246"/>
      <c r="CZ25" s="246"/>
      <c r="DA25" s="246"/>
      <c r="DB25" s="246"/>
      <c r="DC25" s="246"/>
      <c r="DD25" s="246"/>
      <c r="DE25" s="246"/>
      <c r="DF25" s="246"/>
      <c r="DG25" s="246"/>
      <c r="DH25" s="246"/>
      <c r="DI25" s="246"/>
      <c r="DJ25" s="246"/>
      <c r="DK25" s="246"/>
      <c r="DL25" s="246"/>
      <c r="DM25" s="246"/>
      <c r="DN25" s="246"/>
      <c r="DO25" s="246"/>
      <c r="DP25" s="246"/>
      <c r="DQ25" s="246"/>
      <c r="DR25" s="246"/>
      <c r="DS25" s="246"/>
      <c r="DT25" s="246"/>
      <c r="DU25" s="246"/>
      <c r="DV25" s="246"/>
      <c r="DW25" s="246"/>
      <c r="DX25" s="246"/>
      <c r="DY25" s="246"/>
      <c r="DZ25" s="246"/>
      <c r="EA25" s="246"/>
      <c r="EB25" s="246"/>
      <c r="EC25" s="246"/>
      <c r="ED25" s="246"/>
      <c r="EE25" s="246"/>
      <c r="EF25" s="246"/>
      <c r="EG25" s="246"/>
      <c r="EH25" s="246"/>
      <c r="EI25" s="246"/>
      <c r="EJ25" s="246"/>
      <c r="EK25" s="246"/>
      <c r="EL25" s="246"/>
      <c r="EM25" s="246"/>
      <c r="EN25" s="246"/>
      <c r="EO25" s="246"/>
      <c r="EP25" s="246"/>
      <c r="EQ25" s="246"/>
      <c r="ER25" s="246"/>
      <c r="ES25" s="246"/>
      <c r="ET25" s="246"/>
      <c r="EU25" s="246"/>
      <c r="EV25" s="246"/>
      <c r="EW25" s="246"/>
      <c r="EX25" s="246"/>
      <c r="EY25" s="246"/>
      <c r="EZ25" s="246"/>
      <c r="FA25" s="246"/>
      <c r="FB25" s="246"/>
      <c r="FC25" s="246"/>
      <c r="FD25" s="246"/>
      <c r="FE25" s="246"/>
      <c r="FF25" s="246"/>
      <c r="FG25" s="246"/>
      <c r="FH25" s="246"/>
      <c r="FI25" s="246"/>
      <c r="FJ25" s="246"/>
      <c r="FK25" s="246"/>
      <c r="FL25" s="246"/>
      <c r="FM25" s="246"/>
      <c r="FN25" s="246"/>
      <c r="FO25" s="246"/>
      <c r="FP25" s="246"/>
      <c r="FQ25" s="246"/>
      <c r="FR25" s="246"/>
      <c r="FS25" s="246"/>
      <c r="FT25" s="246"/>
      <c r="FU25" s="246"/>
      <c r="FV25" s="246"/>
      <c r="FW25" s="246"/>
      <c r="FX25" s="246"/>
      <c r="FY25" s="246"/>
      <c r="FZ25" s="246"/>
      <c r="GA25" s="246"/>
      <c r="GB25" s="246"/>
      <c r="GC25" s="246"/>
      <c r="GD25" s="246"/>
    </row>
    <row r="26" spans="1:186">
      <c r="A26" s="246"/>
      <c r="B26" s="246"/>
      <c r="C26" s="246"/>
      <c r="D26" s="246"/>
      <c r="E26" s="246"/>
      <c r="F26" s="246"/>
      <c r="G26" s="246"/>
      <c r="H26" s="246"/>
      <c r="I26" s="246"/>
      <c r="J26" s="246"/>
      <c r="K26" s="246"/>
      <c r="L26" s="246"/>
      <c r="M26" s="246"/>
      <c r="N26" s="246"/>
      <c r="O26" s="246"/>
      <c r="P26" s="246"/>
      <c r="Q26" s="246"/>
      <c r="R26" s="246"/>
      <c r="S26" s="246"/>
      <c r="T26" s="246"/>
      <c r="U26" s="246"/>
      <c r="V26" s="246"/>
      <c r="W26" s="246"/>
      <c r="X26" s="246"/>
      <c r="Y26" s="246"/>
      <c r="Z26" s="246"/>
      <c r="AA26" s="246"/>
      <c r="AB26" s="246"/>
      <c r="AC26" s="246"/>
      <c r="AD26" s="246"/>
      <c r="AE26" s="246"/>
      <c r="AF26" s="246"/>
      <c r="AG26" s="246"/>
      <c r="AH26" s="246"/>
      <c r="AI26" s="246"/>
      <c r="AJ26" s="246"/>
      <c r="AK26" s="246"/>
      <c r="AL26" s="246"/>
      <c r="AM26" s="246"/>
      <c r="AN26" s="246"/>
      <c r="AO26" s="246"/>
      <c r="AP26" s="246"/>
      <c r="AQ26" s="246"/>
      <c r="AR26" s="246"/>
      <c r="AS26" s="246"/>
      <c r="AT26" s="246"/>
      <c r="AU26" s="246"/>
      <c r="AV26" s="246"/>
      <c r="AW26" s="246"/>
      <c r="AX26" s="246"/>
      <c r="AY26" s="246"/>
      <c r="AZ26" s="246"/>
      <c r="BA26" s="246"/>
      <c r="BB26" s="246"/>
      <c r="BC26" s="246"/>
      <c r="BD26" s="246"/>
      <c r="BE26" s="246"/>
      <c r="BF26" s="246"/>
      <c r="BG26" s="246"/>
      <c r="BH26" s="246"/>
      <c r="BI26" s="246"/>
      <c r="BJ26" s="246"/>
      <c r="BK26" s="246"/>
      <c r="BL26" s="246"/>
      <c r="BM26" s="246"/>
      <c r="BN26" s="246"/>
      <c r="BO26" s="246"/>
      <c r="BP26" s="246"/>
      <c r="BQ26" s="246"/>
      <c r="BR26" s="246"/>
      <c r="BS26" s="246"/>
      <c r="BT26" s="246"/>
      <c r="BU26" s="246"/>
      <c r="BV26" s="246"/>
      <c r="BW26" s="246"/>
      <c r="BX26" s="246"/>
      <c r="BY26" s="246"/>
      <c r="BZ26" s="246"/>
      <c r="CA26" s="246"/>
      <c r="CB26" s="246"/>
      <c r="CC26" s="246"/>
      <c r="CD26" s="246"/>
      <c r="CE26" s="246"/>
      <c r="CF26" s="246"/>
      <c r="CG26" s="246"/>
      <c r="CH26" s="246"/>
      <c r="CI26" s="246"/>
      <c r="CJ26" s="246"/>
      <c r="CK26" s="246"/>
      <c r="CL26" s="246"/>
      <c r="CM26" s="246"/>
      <c r="CN26" s="246"/>
      <c r="CO26" s="246"/>
      <c r="CP26" s="246"/>
      <c r="CQ26" s="246"/>
      <c r="CR26" s="246"/>
      <c r="CS26" s="246"/>
      <c r="CT26" s="246"/>
      <c r="CU26" s="246"/>
      <c r="CV26" s="246"/>
      <c r="CW26" s="246"/>
      <c r="CX26" s="246"/>
      <c r="CY26" s="246"/>
      <c r="CZ26" s="246"/>
      <c r="DA26" s="246"/>
      <c r="DB26" s="246"/>
      <c r="DC26" s="246"/>
      <c r="DD26" s="246"/>
      <c r="DE26" s="246"/>
      <c r="DF26" s="246"/>
      <c r="DG26" s="246"/>
      <c r="DH26" s="246"/>
      <c r="DI26" s="246"/>
      <c r="DJ26" s="246"/>
      <c r="DK26" s="246"/>
      <c r="DL26" s="246"/>
      <c r="DM26" s="246"/>
      <c r="DN26" s="246"/>
      <c r="DO26" s="246"/>
      <c r="DP26" s="246"/>
      <c r="DQ26" s="246"/>
      <c r="DR26" s="246"/>
      <c r="DS26" s="246"/>
      <c r="DT26" s="246"/>
      <c r="DU26" s="246"/>
      <c r="DV26" s="246"/>
      <c r="DW26" s="246"/>
      <c r="DX26" s="246"/>
      <c r="DY26" s="246"/>
      <c r="DZ26" s="246"/>
      <c r="EA26" s="246"/>
      <c r="EB26" s="246"/>
      <c r="EC26" s="246"/>
      <c r="ED26" s="246"/>
      <c r="EE26" s="246"/>
      <c r="EF26" s="246"/>
      <c r="EG26" s="246"/>
      <c r="EH26" s="246"/>
      <c r="EI26" s="246"/>
      <c r="EJ26" s="246"/>
      <c r="EK26" s="246"/>
      <c r="EL26" s="246"/>
      <c r="EM26" s="246"/>
      <c r="EN26" s="246"/>
      <c r="EO26" s="246"/>
      <c r="EP26" s="246"/>
      <c r="EQ26" s="246"/>
      <c r="ER26" s="246"/>
      <c r="ES26" s="246"/>
      <c r="ET26" s="246"/>
      <c r="EU26" s="246"/>
      <c r="EV26" s="246"/>
      <c r="EW26" s="246"/>
      <c r="EX26" s="246"/>
      <c r="EY26" s="246"/>
      <c r="EZ26" s="246"/>
      <c r="FA26" s="246"/>
      <c r="FB26" s="246"/>
      <c r="FC26" s="246"/>
      <c r="FD26" s="246"/>
      <c r="FE26" s="246"/>
      <c r="FF26" s="246"/>
      <c r="FG26" s="246"/>
      <c r="FH26" s="246"/>
      <c r="FI26" s="246"/>
      <c r="FJ26" s="246"/>
      <c r="FK26" s="246"/>
      <c r="FL26" s="246"/>
      <c r="FM26" s="246"/>
      <c r="FN26" s="246"/>
      <c r="FO26" s="246"/>
      <c r="FP26" s="246"/>
      <c r="FQ26" s="246"/>
      <c r="FR26" s="246"/>
      <c r="FS26" s="246"/>
      <c r="FT26" s="246"/>
      <c r="FU26" s="246"/>
      <c r="FV26" s="246"/>
      <c r="FW26" s="246"/>
      <c r="FX26" s="246"/>
      <c r="FY26" s="246"/>
      <c r="FZ26" s="246"/>
      <c r="GA26" s="246"/>
      <c r="GB26" s="246"/>
      <c r="GC26" s="246"/>
      <c r="GD26" s="246"/>
    </row>
    <row r="27" spans="1:186">
      <c r="A27" s="246"/>
      <c r="B27" s="246"/>
      <c r="C27" s="246"/>
      <c r="D27" s="246"/>
      <c r="E27" s="246"/>
      <c r="F27" s="246"/>
      <c r="G27" s="246"/>
      <c r="H27" s="246"/>
      <c r="I27" s="246"/>
      <c r="J27" s="246"/>
      <c r="K27" s="246"/>
      <c r="L27" s="246"/>
      <c r="M27" s="246"/>
      <c r="N27" s="246"/>
      <c r="O27" s="246"/>
      <c r="P27" s="246"/>
      <c r="Q27" s="246"/>
      <c r="R27" s="246"/>
      <c r="S27" s="246"/>
      <c r="T27" s="246"/>
      <c r="U27" s="246"/>
      <c r="V27" s="246"/>
      <c r="W27" s="246"/>
      <c r="X27" s="246"/>
      <c r="Y27" s="246"/>
      <c r="Z27" s="246"/>
      <c r="AA27" s="246"/>
      <c r="AB27" s="246"/>
      <c r="AC27" s="246"/>
      <c r="AD27" s="246"/>
      <c r="AE27" s="246"/>
      <c r="AF27" s="246"/>
      <c r="AG27" s="246"/>
      <c r="AH27" s="246"/>
      <c r="AI27" s="246"/>
      <c r="AJ27" s="246"/>
      <c r="AK27" s="246"/>
      <c r="AL27" s="246"/>
      <c r="AM27" s="246"/>
      <c r="AN27" s="246"/>
      <c r="AO27" s="246"/>
      <c r="AP27" s="246"/>
      <c r="AQ27" s="246"/>
      <c r="AR27" s="246"/>
      <c r="AS27" s="246"/>
      <c r="AT27" s="246"/>
      <c r="AU27" s="246"/>
      <c r="AV27" s="246"/>
      <c r="AW27" s="246"/>
      <c r="AX27" s="246"/>
      <c r="AY27" s="246"/>
      <c r="AZ27" s="246"/>
      <c r="BA27" s="246"/>
      <c r="BB27" s="246"/>
      <c r="BC27" s="246"/>
      <c r="BD27" s="246"/>
      <c r="BE27" s="246"/>
      <c r="BF27" s="246"/>
      <c r="BG27" s="246"/>
      <c r="BH27" s="246"/>
      <c r="BI27" s="246"/>
      <c r="BJ27" s="246"/>
      <c r="BK27" s="246"/>
      <c r="BL27" s="246"/>
      <c r="BM27" s="246"/>
      <c r="BN27" s="246"/>
      <c r="BO27" s="246"/>
      <c r="BP27" s="246"/>
      <c r="BQ27" s="246"/>
      <c r="BR27" s="246"/>
      <c r="BS27" s="246"/>
      <c r="BT27" s="246"/>
      <c r="BU27" s="246"/>
      <c r="BV27" s="246"/>
      <c r="BW27" s="246"/>
      <c r="BX27" s="246"/>
      <c r="BY27" s="246"/>
      <c r="BZ27" s="246"/>
      <c r="CA27" s="246"/>
      <c r="CB27" s="246"/>
      <c r="CC27" s="246"/>
      <c r="CD27" s="246"/>
      <c r="CE27" s="246"/>
      <c r="CF27" s="246"/>
      <c r="CG27" s="246"/>
      <c r="CH27" s="246"/>
      <c r="CI27" s="246"/>
      <c r="CJ27" s="246"/>
      <c r="CK27" s="246"/>
      <c r="CL27" s="246"/>
      <c r="CM27" s="246"/>
      <c r="CN27" s="246"/>
      <c r="CO27" s="246"/>
      <c r="CP27" s="246"/>
      <c r="CQ27" s="246"/>
      <c r="CR27" s="246"/>
      <c r="CS27" s="246"/>
      <c r="CT27" s="246"/>
      <c r="CU27" s="246"/>
      <c r="CV27" s="246"/>
      <c r="CW27" s="246"/>
      <c r="CX27" s="246"/>
      <c r="CY27" s="246"/>
      <c r="CZ27" s="246"/>
      <c r="DA27" s="246"/>
      <c r="DB27" s="246"/>
      <c r="DC27" s="246"/>
      <c r="DD27" s="246"/>
      <c r="DE27" s="246"/>
      <c r="DF27" s="246"/>
      <c r="DG27" s="246"/>
      <c r="DH27" s="246"/>
      <c r="DI27" s="246"/>
      <c r="DJ27" s="246"/>
      <c r="DK27" s="246"/>
      <c r="DL27" s="246"/>
      <c r="DM27" s="246"/>
      <c r="DN27" s="246"/>
      <c r="DO27" s="246"/>
      <c r="DP27" s="246"/>
      <c r="DQ27" s="246"/>
      <c r="DR27" s="246"/>
      <c r="DS27" s="246"/>
      <c r="DT27" s="246"/>
      <c r="DU27" s="246"/>
      <c r="DV27" s="246"/>
      <c r="DW27" s="246"/>
      <c r="DX27" s="246"/>
      <c r="DY27" s="246"/>
      <c r="DZ27" s="246"/>
      <c r="EA27" s="246"/>
      <c r="EB27" s="246"/>
      <c r="EC27" s="246"/>
      <c r="ED27" s="246"/>
      <c r="EE27" s="246"/>
      <c r="EF27" s="246"/>
      <c r="EG27" s="246"/>
      <c r="EH27" s="246"/>
      <c r="EI27" s="246"/>
      <c r="EJ27" s="246"/>
      <c r="EK27" s="246"/>
      <c r="EL27" s="246"/>
      <c r="EM27" s="246"/>
      <c r="EN27" s="246"/>
      <c r="EO27" s="246"/>
      <c r="EP27" s="246"/>
      <c r="EQ27" s="246"/>
      <c r="ER27" s="246"/>
      <c r="ES27" s="246"/>
      <c r="ET27" s="246"/>
      <c r="EU27" s="246"/>
      <c r="EV27" s="246"/>
      <c r="EW27" s="246"/>
      <c r="EX27" s="246"/>
      <c r="EY27" s="246"/>
      <c r="EZ27" s="246"/>
      <c r="FA27" s="246"/>
      <c r="FB27" s="246"/>
      <c r="FC27" s="246"/>
      <c r="FD27" s="246"/>
      <c r="FE27" s="246"/>
      <c r="FF27" s="246"/>
      <c r="FG27" s="246"/>
      <c r="FH27" s="246"/>
      <c r="FI27" s="246"/>
      <c r="FJ27" s="246"/>
      <c r="FK27" s="246"/>
      <c r="FL27" s="246"/>
      <c r="FM27" s="246"/>
      <c r="FN27" s="246"/>
      <c r="FO27" s="246"/>
      <c r="FP27" s="246"/>
      <c r="FQ27" s="246"/>
      <c r="FR27" s="246"/>
      <c r="FS27" s="246"/>
      <c r="FT27" s="246"/>
      <c r="FU27" s="246"/>
      <c r="FV27" s="246"/>
      <c r="FW27" s="246"/>
      <c r="FX27" s="246"/>
      <c r="FY27" s="246"/>
      <c r="FZ27" s="246"/>
      <c r="GA27" s="246"/>
      <c r="GB27" s="246"/>
      <c r="GC27" s="246"/>
      <c r="GD27" s="246"/>
    </row>
    <row r="28" spans="1:186">
      <c r="A28" s="246"/>
      <c r="B28" s="246"/>
      <c r="C28" s="246"/>
      <c r="D28" s="246"/>
      <c r="E28" s="246"/>
      <c r="F28" s="246"/>
      <c r="G28" s="246"/>
      <c r="H28" s="246"/>
      <c r="I28" s="246"/>
      <c r="J28" s="246"/>
      <c r="K28" s="246"/>
      <c r="L28" s="246"/>
      <c r="M28" s="246"/>
      <c r="N28" s="246"/>
      <c r="O28" s="246"/>
      <c r="P28" s="246"/>
      <c r="Q28" s="246"/>
      <c r="R28" s="246"/>
      <c r="S28" s="246"/>
      <c r="T28" s="246"/>
      <c r="U28" s="246"/>
      <c r="V28" s="246"/>
      <c r="W28" s="246"/>
      <c r="X28" s="246"/>
      <c r="Y28" s="246"/>
      <c r="Z28" s="246"/>
      <c r="AA28" s="246"/>
      <c r="AB28" s="246"/>
      <c r="AC28" s="246"/>
      <c r="AD28" s="246"/>
      <c r="AE28" s="246"/>
      <c r="AF28" s="246"/>
      <c r="AG28" s="246"/>
      <c r="AH28" s="246"/>
      <c r="AI28" s="246"/>
      <c r="AJ28" s="246"/>
      <c r="AK28" s="246"/>
      <c r="AL28" s="246"/>
      <c r="AM28" s="246"/>
      <c r="AN28" s="246"/>
      <c r="AO28" s="246"/>
      <c r="AP28" s="246"/>
      <c r="AQ28" s="246"/>
      <c r="AR28" s="246"/>
      <c r="AS28" s="246"/>
      <c r="AT28" s="246"/>
      <c r="AU28" s="246"/>
      <c r="AV28" s="246"/>
      <c r="AW28" s="246"/>
      <c r="AX28" s="246"/>
      <c r="AY28" s="246"/>
      <c r="AZ28" s="246"/>
      <c r="BA28" s="246"/>
      <c r="BB28" s="246"/>
      <c r="BC28" s="246"/>
      <c r="BD28" s="246"/>
      <c r="BE28" s="246"/>
      <c r="BF28" s="246"/>
      <c r="BG28" s="246"/>
      <c r="BH28" s="246"/>
      <c r="BI28" s="246"/>
      <c r="BJ28" s="246"/>
      <c r="BK28" s="246"/>
      <c r="BL28" s="246"/>
      <c r="BM28" s="246"/>
      <c r="BN28" s="246"/>
      <c r="BO28" s="246"/>
      <c r="BP28" s="246"/>
      <c r="BQ28" s="246"/>
      <c r="BR28" s="246"/>
      <c r="BS28" s="246"/>
      <c r="BT28" s="246"/>
      <c r="BU28" s="246"/>
      <c r="BV28" s="246"/>
      <c r="BW28" s="246"/>
      <c r="BX28" s="246"/>
      <c r="BY28" s="246"/>
      <c r="BZ28" s="246"/>
      <c r="CA28" s="246"/>
      <c r="CB28" s="246"/>
      <c r="CC28" s="246"/>
      <c r="CD28" s="246"/>
      <c r="CE28" s="246"/>
      <c r="CF28" s="246"/>
      <c r="CG28" s="246"/>
      <c r="CH28" s="246"/>
      <c r="CI28" s="246"/>
      <c r="CJ28" s="246"/>
      <c r="CK28" s="246"/>
      <c r="CL28" s="246"/>
      <c r="CM28" s="246"/>
      <c r="CN28" s="246"/>
      <c r="CO28" s="246"/>
      <c r="CP28" s="246"/>
      <c r="CQ28" s="246"/>
      <c r="CR28" s="246"/>
      <c r="CS28" s="246"/>
      <c r="CT28" s="246"/>
      <c r="CU28" s="246"/>
      <c r="CV28" s="246"/>
      <c r="CW28" s="246"/>
      <c r="CX28" s="246"/>
      <c r="CY28" s="246"/>
      <c r="CZ28" s="246"/>
      <c r="DA28" s="246"/>
      <c r="DB28" s="246"/>
      <c r="DC28" s="246"/>
      <c r="DD28" s="246"/>
      <c r="DE28" s="246"/>
      <c r="DF28" s="246"/>
      <c r="DG28" s="246"/>
      <c r="DH28" s="246"/>
      <c r="DI28" s="246"/>
      <c r="DJ28" s="246"/>
      <c r="DK28" s="246"/>
      <c r="DL28" s="246"/>
      <c r="DM28" s="246"/>
      <c r="DN28" s="246"/>
      <c r="DO28" s="246"/>
      <c r="DP28" s="246"/>
      <c r="DQ28" s="246"/>
      <c r="DR28" s="246"/>
      <c r="DS28" s="246"/>
      <c r="DT28" s="246"/>
      <c r="DU28" s="246"/>
      <c r="DV28" s="246"/>
      <c r="DW28" s="246"/>
      <c r="DX28" s="246"/>
      <c r="DY28" s="246"/>
      <c r="DZ28" s="246"/>
      <c r="EA28" s="246"/>
      <c r="EB28" s="246"/>
      <c r="EC28" s="246"/>
      <c r="ED28" s="246"/>
      <c r="EE28" s="246"/>
      <c r="EF28" s="246"/>
      <c r="EG28" s="246"/>
      <c r="EH28" s="246"/>
      <c r="EI28" s="246"/>
      <c r="EJ28" s="246"/>
      <c r="EK28" s="246"/>
      <c r="EL28" s="246"/>
      <c r="EM28" s="246"/>
      <c r="EN28" s="246"/>
      <c r="EO28" s="246"/>
      <c r="EP28" s="246"/>
      <c r="EQ28" s="246"/>
      <c r="ER28" s="246"/>
      <c r="ES28" s="246"/>
      <c r="ET28" s="246"/>
      <c r="EU28" s="246"/>
      <c r="EV28" s="246"/>
      <c r="EW28" s="246"/>
      <c r="EX28" s="246"/>
      <c r="EY28" s="246"/>
      <c r="EZ28" s="246"/>
      <c r="FA28" s="246"/>
      <c r="FB28" s="246"/>
      <c r="FC28" s="246"/>
      <c r="FD28" s="246"/>
      <c r="FE28" s="246"/>
      <c r="FF28" s="246"/>
      <c r="FG28" s="246"/>
      <c r="FH28" s="246"/>
      <c r="FI28" s="246"/>
      <c r="FJ28" s="246"/>
      <c r="FK28" s="246"/>
      <c r="FL28" s="246"/>
      <c r="FM28" s="246"/>
      <c r="FN28" s="246"/>
      <c r="FO28" s="246"/>
      <c r="FP28" s="246"/>
      <c r="FQ28" s="246"/>
      <c r="FR28" s="246"/>
      <c r="FS28" s="246"/>
      <c r="FT28" s="246"/>
      <c r="FU28" s="246"/>
      <c r="FV28" s="246"/>
      <c r="FW28" s="246"/>
      <c r="FX28" s="246"/>
      <c r="FY28" s="246"/>
      <c r="FZ28" s="246"/>
      <c r="GA28" s="246"/>
      <c r="GB28" s="246"/>
      <c r="GC28" s="246"/>
      <c r="GD28" s="246"/>
    </row>
    <row r="29" spans="1:186">
      <c r="A29" s="246"/>
      <c r="B29" s="246"/>
      <c r="C29" s="246"/>
      <c r="D29" s="246"/>
      <c r="E29" s="246"/>
      <c r="F29" s="246"/>
      <c r="G29" s="246"/>
      <c r="H29" s="246"/>
      <c r="I29" s="246"/>
      <c r="J29" s="246"/>
      <c r="K29" s="246"/>
      <c r="L29" s="246"/>
      <c r="M29" s="246"/>
      <c r="N29" s="246"/>
      <c r="O29" s="246"/>
      <c r="P29" s="246"/>
      <c r="Q29" s="246"/>
      <c r="R29" s="246"/>
      <c r="S29" s="246"/>
      <c r="T29" s="246"/>
      <c r="U29" s="246"/>
      <c r="V29" s="246"/>
      <c r="W29" s="246"/>
      <c r="X29" s="246"/>
      <c r="Y29" s="246"/>
      <c r="Z29" s="246"/>
      <c r="AA29" s="246"/>
      <c r="AB29" s="246"/>
      <c r="AC29" s="246"/>
      <c r="AD29" s="246"/>
      <c r="AE29" s="246"/>
      <c r="AF29" s="246"/>
      <c r="AG29" s="246"/>
      <c r="AH29" s="246"/>
      <c r="AI29" s="246"/>
      <c r="AJ29" s="246"/>
      <c r="AK29" s="246"/>
      <c r="AL29" s="246"/>
      <c r="AM29" s="246"/>
      <c r="AN29" s="246"/>
      <c r="AO29" s="246"/>
      <c r="AP29" s="246"/>
      <c r="AQ29" s="246"/>
      <c r="AR29" s="246"/>
      <c r="AS29" s="246"/>
      <c r="AT29" s="246"/>
      <c r="AU29" s="246"/>
      <c r="AV29" s="246"/>
      <c r="AW29" s="246"/>
      <c r="AX29" s="246"/>
      <c r="AY29" s="246"/>
      <c r="AZ29" s="246"/>
      <c r="BA29" s="246"/>
      <c r="BB29" s="246"/>
      <c r="BC29" s="246"/>
      <c r="BD29" s="246"/>
      <c r="BE29" s="246"/>
      <c r="BF29" s="246"/>
      <c r="BG29" s="246"/>
      <c r="BH29" s="246"/>
      <c r="BI29" s="246"/>
      <c r="BJ29" s="246"/>
      <c r="BK29" s="246"/>
      <c r="BL29" s="246"/>
      <c r="BM29" s="246"/>
      <c r="BN29" s="246"/>
      <c r="BO29" s="246"/>
      <c r="BP29" s="246"/>
      <c r="BQ29" s="246"/>
      <c r="BR29" s="246"/>
      <c r="BS29" s="246"/>
      <c r="BT29" s="246"/>
      <c r="BU29" s="246"/>
      <c r="BV29" s="246"/>
      <c r="BW29" s="246"/>
      <c r="BX29" s="246"/>
      <c r="BY29" s="246"/>
      <c r="BZ29" s="246"/>
      <c r="CA29" s="246"/>
      <c r="CB29" s="246"/>
      <c r="CC29" s="246"/>
      <c r="CD29" s="246"/>
      <c r="CE29" s="246"/>
      <c r="CF29" s="246"/>
      <c r="CG29" s="246"/>
      <c r="CH29" s="246"/>
      <c r="CI29" s="246"/>
      <c r="CJ29" s="246"/>
      <c r="CK29" s="246"/>
      <c r="CL29" s="246"/>
      <c r="CM29" s="246"/>
      <c r="CN29" s="246"/>
      <c r="CO29" s="246"/>
      <c r="CP29" s="246"/>
      <c r="CQ29" s="246"/>
      <c r="CR29" s="246"/>
      <c r="CS29" s="246"/>
      <c r="CT29" s="246"/>
      <c r="CU29" s="246"/>
      <c r="CV29" s="246"/>
      <c r="CW29" s="246"/>
      <c r="CX29" s="246"/>
      <c r="CY29" s="246"/>
      <c r="CZ29" s="246"/>
      <c r="DA29" s="246"/>
      <c r="DB29" s="246"/>
      <c r="DC29" s="246"/>
      <c r="DD29" s="246"/>
      <c r="DE29" s="246"/>
      <c r="DF29" s="246"/>
      <c r="DG29" s="246"/>
      <c r="DH29" s="246"/>
      <c r="DI29" s="246"/>
      <c r="DJ29" s="246"/>
      <c r="DK29" s="246"/>
      <c r="DL29" s="246"/>
      <c r="DM29" s="246"/>
      <c r="DN29" s="246"/>
      <c r="DO29" s="246"/>
      <c r="DP29" s="246"/>
      <c r="DQ29" s="246"/>
      <c r="DR29" s="246"/>
      <c r="DS29" s="246"/>
      <c r="DT29" s="246"/>
      <c r="DU29" s="246"/>
      <c r="DV29" s="246"/>
      <c r="DW29" s="246"/>
      <c r="DX29" s="246"/>
      <c r="DY29" s="246"/>
      <c r="DZ29" s="246"/>
      <c r="EA29" s="246"/>
      <c r="EB29" s="246"/>
      <c r="EC29" s="246"/>
      <c r="ED29" s="246"/>
      <c r="EE29" s="246"/>
      <c r="EF29" s="246"/>
      <c r="EG29" s="246"/>
      <c r="EH29" s="246"/>
      <c r="EI29" s="246"/>
      <c r="EJ29" s="246"/>
      <c r="EK29" s="246"/>
      <c r="EL29" s="246"/>
      <c r="EM29" s="246"/>
      <c r="EN29" s="246"/>
      <c r="EO29" s="246"/>
      <c r="EP29" s="246"/>
      <c r="EQ29" s="246"/>
      <c r="ER29" s="246"/>
      <c r="ES29" s="246"/>
      <c r="ET29" s="246"/>
      <c r="EU29" s="246"/>
      <c r="EV29" s="246"/>
      <c r="EW29" s="246"/>
      <c r="EX29" s="246"/>
      <c r="EY29" s="246"/>
      <c r="EZ29" s="246"/>
      <c r="FA29" s="246"/>
      <c r="FB29" s="246"/>
      <c r="FC29" s="246"/>
      <c r="FD29" s="246"/>
      <c r="FE29" s="246"/>
      <c r="FF29" s="246"/>
      <c r="FG29" s="246"/>
      <c r="FH29" s="246"/>
      <c r="FI29" s="246"/>
      <c r="FJ29" s="246"/>
      <c r="FK29" s="246"/>
      <c r="FL29" s="246"/>
      <c r="FM29" s="246"/>
      <c r="FN29" s="246"/>
      <c r="FO29" s="246"/>
      <c r="FP29" s="246"/>
      <c r="FQ29" s="246"/>
      <c r="FR29" s="246"/>
      <c r="FS29" s="246"/>
      <c r="FT29" s="246"/>
      <c r="FU29" s="246"/>
      <c r="FV29" s="246"/>
      <c r="FW29" s="246"/>
      <c r="FX29" s="246"/>
      <c r="FY29" s="246"/>
      <c r="FZ29" s="246"/>
      <c r="GA29" s="246"/>
      <c r="GB29" s="246"/>
      <c r="GC29" s="246"/>
      <c r="GD29" s="246"/>
    </row>
    <row r="30" spans="1:186">
      <c r="A30" s="246"/>
      <c r="B30" s="246"/>
      <c r="C30" s="246"/>
      <c r="D30" s="246"/>
      <c r="E30" s="246"/>
      <c r="F30" s="246"/>
      <c r="G30" s="246"/>
      <c r="H30" s="246"/>
      <c r="I30" s="246"/>
      <c r="J30" s="246"/>
      <c r="K30" s="246"/>
      <c r="L30" s="246"/>
      <c r="M30" s="246"/>
      <c r="N30" s="246"/>
      <c r="O30" s="246"/>
      <c r="P30" s="246"/>
      <c r="Q30" s="246"/>
      <c r="R30" s="246"/>
      <c r="S30" s="246"/>
      <c r="T30" s="246"/>
      <c r="U30" s="246"/>
      <c r="V30" s="246"/>
      <c r="W30" s="246"/>
      <c r="X30" s="246"/>
      <c r="Y30" s="246"/>
      <c r="Z30" s="246"/>
      <c r="AA30" s="246"/>
      <c r="AB30" s="246"/>
      <c r="AC30" s="246"/>
      <c r="AD30" s="246"/>
      <c r="AE30" s="246"/>
      <c r="AF30" s="246"/>
      <c r="AG30" s="246"/>
      <c r="AH30" s="246"/>
      <c r="AI30" s="246"/>
      <c r="AJ30" s="246"/>
      <c r="AK30" s="246"/>
      <c r="AL30" s="246"/>
      <c r="AM30" s="246"/>
      <c r="AN30" s="246"/>
      <c r="AO30" s="246"/>
      <c r="AP30" s="246"/>
      <c r="AQ30" s="246"/>
      <c r="AR30" s="246"/>
      <c r="AS30" s="246"/>
      <c r="AT30" s="246"/>
      <c r="AU30" s="246"/>
      <c r="AV30" s="246"/>
      <c r="AW30" s="246"/>
      <c r="AX30" s="246"/>
      <c r="AY30" s="246"/>
      <c r="AZ30" s="246"/>
      <c r="BA30" s="246"/>
      <c r="BB30" s="246"/>
      <c r="BC30" s="246"/>
      <c r="BD30" s="246"/>
      <c r="BE30" s="246"/>
      <c r="BF30" s="246"/>
      <c r="BG30" s="246"/>
      <c r="BH30" s="246"/>
      <c r="BI30" s="246"/>
      <c r="BJ30" s="246"/>
      <c r="BK30" s="246"/>
      <c r="BL30" s="246"/>
      <c r="BM30" s="246"/>
      <c r="BN30" s="246"/>
      <c r="BO30" s="246"/>
      <c r="BP30" s="246"/>
      <c r="BQ30" s="246"/>
      <c r="BR30" s="246"/>
      <c r="BS30" s="246"/>
      <c r="BT30" s="246"/>
      <c r="BU30" s="246"/>
      <c r="BV30" s="246"/>
      <c r="BW30" s="246"/>
      <c r="BX30" s="246"/>
      <c r="BY30" s="246"/>
      <c r="BZ30" s="246"/>
      <c r="CA30" s="246"/>
      <c r="CB30" s="246"/>
      <c r="CC30" s="246"/>
      <c r="CD30" s="246"/>
      <c r="CE30" s="246"/>
      <c r="CF30" s="246"/>
      <c r="CG30" s="246"/>
      <c r="CH30" s="246"/>
      <c r="CI30" s="246"/>
      <c r="CJ30" s="246"/>
      <c r="CK30" s="246"/>
      <c r="CL30" s="246"/>
      <c r="CM30" s="246"/>
      <c r="CN30" s="246"/>
      <c r="CO30" s="246"/>
      <c r="CP30" s="246"/>
      <c r="CQ30" s="246"/>
      <c r="CR30" s="246"/>
      <c r="CS30" s="246"/>
      <c r="CT30" s="246"/>
      <c r="CU30" s="246"/>
      <c r="CV30" s="246"/>
      <c r="CW30" s="246"/>
      <c r="CX30" s="246"/>
      <c r="CY30" s="246"/>
      <c r="CZ30" s="246"/>
      <c r="DA30" s="246"/>
      <c r="DB30" s="246"/>
      <c r="DC30" s="246"/>
      <c r="DD30" s="246"/>
      <c r="DE30" s="246"/>
      <c r="DF30" s="246"/>
      <c r="DG30" s="246"/>
      <c r="DH30" s="246"/>
      <c r="DI30" s="246"/>
      <c r="DJ30" s="246"/>
      <c r="DK30" s="246"/>
      <c r="DL30" s="246"/>
      <c r="DM30" s="246"/>
      <c r="DN30" s="246"/>
      <c r="DO30" s="246"/>
      <c r="DP30" s="246"/>
      <c r="DQ30" s="246"/>
      <c r="DR30" s="246"/>
      <c r="DS30" s="246"/>
      <c r="DT30" s="246"/>
      <c r="DU30" s="246"/>
      <c r="DV30" s="246"/>
      <c r="DW30" s="246"/>
      <c r="DX30" s="246"/>
      <c r="DY30" s="246"/>
      <c r="DZ30" s="246"/>
      <c r="EA30" s="246"/>
      <c r="EB30" s="246"/>
      <c r="EC30" s="246"/>
      <c r="ED30" s="246"/>
      <c r="EE30" s="246"/>
      <c r="EF30" s="246"/>
      <c r="EG30" s="246"/>
      <c r="EH30" s="246"/>
      <c r="EI30" s="246"/>
      <c r="EJ30" s="246"/>
      <c r="EK30" s="246"/>
      <c r="EL30" s="246"/>
      <c r="EM30" s="246"/>
      <c r="EN30" s="246"/>
      <c r="EO30" s="246"/>
      <c r="EP30" s="246"/>
      <c r="EQ30" s="246"/>
      <c r="ER30" s="246"/>
      <c r="ES30" s="246"/>
      <c r="ET30" s="246"/>
      <c r="EU30" s="246"/>
      <c r="EV30" s="246"/>
      <c r="EW30" s="246"/>
      <c r="EX30" s="246"/>
      <c r="EY30" s="246"/>
      <c r="EZ30" s="246"/>
      <c r="FA30" s="246"/>
      <c r="FB30" s="246"/>
      <c r="FC30" s="246"/>
      <c r="FD30" s="246"/>
      <c r="FE30" s="246"/>
      <c r="FF30" s="246"/>
      <c r="FG30" s="246"/>
      <c r="FH30" s="246"/>
      <c r="FI30" s="246"/>
      <c r="FJ30" s="246"/>
      <c r="FK30" s="246"/>
      <c r="FL30" s="246"/>
      <c r="FM30" s="246"/>
      <c r="FN30" s="246"/>
      <c r="FO30" s="246"/>
      <c r="FP30" s="246"/>
      <c r="FQ30" s="246"/>
      <c r="FR30" s="246"/>
      <c r="FS30" s="246"/>
      <c r="FT30" s="246"/>
      <c r="FU30" s="246"/>
      <c r="FV30" s="246"/>
      <c r="FW30" s="246"/>
      <c r="FX30" s="246"/>
      <c r="FY30" s="246"/>
      <c r="FZ30" s="246"/>
      <c r="GA30" s="246"/>
      <c r="GB30" s="246"/>
      <c r="GC30" s="246"/>
      <c r="GD30" s="246"/>
    </row>
    <row r="31" spans="1:186">
      <c r="A31" s="246"/>
      <c r="B31" s="246"/>
      <c r="C31" s="246"/>
      <c r="D31" s="246"/>
      <c r="E31" s="246"/>
      <c r="F31" s="246"/>
      <c r="G31" s="246"/>
      <c r="H31" s="246"/>
      <c r="I31" s="246"/>
      <c r="J31" s="246"/>
      <c r="K31" s="246"/>
      <c r="L31" s="246"/>
      <c r="M31" s="246"/>
      <c r="N31" s="246"/>
      <c r="O31" s="246"/>
      <c r="P31" s="246"/>
      <c r="Q31" s="246"/>
      <c r="R31" s="246"/>
      <c r="S31" s="246"/>
      <c r="T31" s="246"/>
      <c r="U31" s="246"/>
      <c r="V31" s="246"/>
      <c r="W31" s="246"/>
      <c r="X31" s="246"/>
      <c r="Y31" s="246"/>
      <c r="Z31" s="246"/>
      <c r="AA31" s="246"/>
      <c r="AB31" s="246"/>
      <c r="AC31" s="246"/>
      <c r="AD31" s="246"/>
      <c r="AE31" s="246"/>
      <c r="AF31" s="246"/>
      <c r="AG31" s="246"/>
      <c r="AH31" s="246"/>
      <c r="AI31" s="246"/>
      <c r="AJ31" s="246"/>
      <c r="AK31" s="246"/>
      <c r="AL31" s="246"/>
      <c r="AM31" s="246"/>
      <c r="AN31" s="246"/>
      <c r="AO31" s="246"/>
      <c r="AP31" s="246"/>
      <c r="AQ31" s="246"/>
      <c r="AR31" s="246"/>
      <c r="AS31" s="246"/>
      <c r="AT31" s="246"/>
      <c r="AU31" s="246"/>
      <c r="AV31" s="246"/>
      <c r="AW31" s="246"/>
      <c r="AX31" s="246"/>
      <c r="AY31" s="246"/>
      <c r="AZ31" s="246"/>
      <c r="BA31" s="246"/>
      <c r="BB31" s="246"/>
      <c r="BC31" s="246"/>
      <c r="BD31" s="246"/>
      <c r="BE31" s="246"/>
      <c r="BF31" s="246"/>
      <c r="BG31" s="246"/>
      <c r="BH31" s="246"/>
      <c r="BI31" s="246"/>
      <c r="BJ31" s="246"/>
      <c r="BK31" s="246"/>
      <c r="BL31" s="246"/>
      <c r="BM31" s="246"/>
      <c r="BN31" s="246"/>
      <c r="BO31" s="246"/>
      <c r="BP31" s="246"/>
      <c r="BQ31" s="246"/>
      <c r="BR31" s="246"/>
      <c r="BS31" s="246"/>
      <c r="BT31" s="246"/>
      <c r="BU31" s="246"/>
      <c r="BV31" s="246"/>
      <c r="BW31" s="246"/>
      <c r="BX31" s="246"/>
      <c r="BY31" s="246"/>
      <c r="BZ31" s="246"/>
      <c r="CA31" s="246"/>
      <c r="CB31" s="246"/>
      <c r="CC31" s="246"/>
      <c r="CD31" s="246"/>
      <c r="CE31" s="246"/>
      <c r="CF31" s="246"/>
      <c r="CG31" s="246"/>
      <c r="CH31" s="246"/>
      <c r="CI31" s="246"/>
      <c r="CJ31" s="246"/>
      <c r="CK31" s="246"/>
      <c r="CL31" s="246"/>
      <c r="CM31" s="246"/>
      <c r="CN31" s="246"/>
      <c r="CO31" s="246"/>
      <c r="CP31" s="246"/>
      <c r="CQ31" s="246"/>
      <c r="CR31" s="246"/>
      <c r="CS31" s="246"/>
      <c r="CT31" s="246"/>
      <c r="CU31" s="246"/>
      <c r="CV31" s="246"/>
      <c r="CW31" s="246"/>
      <c r="CX31" s="246"/>
      <c r="CY31" s="246"/>
      <c r="CZ31" s="246"/>
      <c r="DA31" s="246"/>
      <c r="DB31" s="246"/>
      <c r="DC31" s="246"/>
      <c r="DD31" s="246"/>
      <c r="DE31" s="246"/>
      <c r="DF31" s="246"/>
      <c r="DG31" s="246"/>
      <c r="DH31" s="246"/>
      <c r="DI31" s="246"/>
      <c r="DJ31" s="246"/>
      <c r="DK31" s="246"/>
      <c r="DL31" s="246"/>
      <c r="DM31" s="246"/>
      <c r="DN31" s="246"/>
      <c r="DO31" s="246"/>
      <c r="DP31" s="246"/>
      <c r="DQ31" s="246"/>
      <c r="DR31" s="246"/>
      <c r="DS31" s="246"/>
      <c r="DT31" s="246"/>
      <c r="DU31" s="246"/>
      <c r="DV31" s="246"/>
      <c r="DW31" s="246"/>
      <c r="DX31" s="246"/>
      <c r="DY31" s="246"/>
      <c r="DZ31" s="246"/>
      <c r="EA31" s="246"/>
      <c r="EB31" s="246"/>
      <c r="EC31" s="246"/>
      <c r="ED31" s="246"/>
      <c r="EE31" s="246"/>
      <c r="EF31" s="246"/>
      <c r="EG31" s="246"/>
      <c r="EH31" s="246"/>
      <c r="EI31" s="246"/>
      <c r="EJ31" s="246"/>
      <c r="EK31" s="246"/>
      <c r="EL31" s="246"/>
      <c r="EM31" s="246"/>
      <c r="EN31" s="246"/>
      <c r="EO31" s="246"/>
      <c r="EP31" s="246"/>
      <c r="EQ31" s="246"/>
      <c r="ER31" s="246"/>
      <c r="ES31" s="246"/>
      <c r="ET31" s="246"/>
      <c r="EU31" s="246"/>
      <c r="EV31" s="246"/>
      <c r="EW31" s="246"/>
      <c r="EX31" s="246"/>
      <c r="EY31" s="246"/>
      <c r="EZ31" s="246"/>
      <c r="FA31" s="246"/>
      <c r="FB31" s="246"/>
      <c r="FC31" s="246"/>
      <c r="FD31" s="246"/>
      <c r="FE31" s="246"/>
      <c r="FF31" s="246"/>
      <c r="FG31" s="246"/>
      <c r="FH31" s="246"/>
      <c r="FI31" s="246"/>
      <c r="FJ31" s="246"/>
      <c r="FK31" s="246"/>
      <c r="FL31" s="246"/>
      <c r="FM31" s="246"/>
      <c r="FN31" s="246"/>
      <c r="FO31" s="246"/>
      <c r="FP31" s="246"/>
      <c r="FQ31" s="246"/>
      <c r="FR31" s="246"/>
      <c r="FS31" s="246"/>
      <c r="FT31" s="246"/>
      <c r="FU31" s="246"/>
      <c r="FV31" s="246"/>
      <c r="FW31" s="246"/>
      <c r="FX31" s="246"/>
      <c r="FY31" s="246"/>
      <c r="FZ31" s="246"/>
      <c r="GA31" s="246"/>
      <c r="GB31" s="246"/>
      <c r="GC31" s="246"/>
      <c r="GD31" s="246"/>
    </row>
    <row r="32" spans="1:186">
      <c r="A32" s="246"/>
      <c r="B32" s="246"/>
      <c r="C32" s="246"/>
      <c r="D32" s="246"/>
      <c r="E32" s="246"/>
      <c r="F32" s="246"/>
      <c r="G32" s="246"/>
      <c r="H32" s="246"/>
      <c r="I32" s="246"/>
      <c r="J32" s="246"/>
      <c r="K32" s="246"/>
      <c r="L32" s="246"/>
      <c r="M32" s="246"/>
      <c r="N32" s="246"/>
      <c r="O32" s="246"/>
      <c r="P32" s="246"/>
      <c r="Q32" s="246"/>
      <c r="R32" s="246"/>
      <c r="S32" s="246"/>
      <c r="T32" s="246"/>
      <c r="U32" s="246"/>
      <c r="V32" s="246"/>
      <c r="W32" s="246"/>
      <c r="X32" s="246"/>
      <c r="Y32" s="246"/>
      <c r="Z32" s="246"/>
      <c r="AA32" s="246"/>
      <c r="AB32" s="246"/>
      <c r="AC32" s="246"/>
      <c r="AD32" s="246"/>
      <c r="AE32" s="246"/>
      <c r="AF32" s="246"/>
      <c r="AG32" s="246"/>
      <c r="AH32" s="246"/>
      <c r="AI32" s="246"/>
      <c r="AJ32" s="246"/>
      <c r="AK32" s="246"/>
      <c r="AL32" s="246"/>
      <c r="AM32" s="246"/>
      <c r="AN32" s="246"/>
      <c r="AO32" s="246"/>
      <c r="AP32" s="246"/>
      <c r="AQ32" s="246"/>
      <c r="AR32" s="246"/>
      <c r="AS32" s="246"/>
      <c r="AT32" s="246"/>
      <c r="AU32" s="246"/>
      <c r="AV32" s="246"/>
      <c r="AW32" s="246"/>
      <c r="AX32" s="246"/>
      <c r="AY32" s="246"/>
      <c r="AZ32" s="246"/>
      <c r="BA32" s="246"/>
      <c r="BB32" s="246"/>
      <c r="BC32" s="246"/>
      <c r="BD32" s="246"/>
      <c r="BE32" s="246"/>
      <c r="BF32" s="246"/>
      <c r="BG32" s="246"/>
      <c r="BH32" s="246"/>
      <c r="BI32" s="246"/>
      <c r="BJ32" s="246"/>
      <c r="BK32" s="246"/>
      <c r="BL32" s="246"/>
      <c r="BM32" s="246"/>
      <c r="BN32" s="246"/>
      <c r="BO32" s="246"/>
      <c r="BP32" s="246"/>
      <c r="BQ32" s="246"/>
      <c r="BR32" s="246"/>
      <c r="BS32" s="246"/>
      <c r="BT32" s="246"/>
      <c r="BU32" s="246"/>
      <c r="BV32" s="246"/>
      <c r="BW32" s="246"/>
      <c r="BX32" s="246"/>
      <c r="BY32" s="246"/>
      <c r="BZ32" s="246"/>
      <c r="CA32" s="246"/>
      <c r="CB32" s="246"/>
      <c r="CC32" s="246"/>
      <c r="CD32" s="246"/>
      <c r="CE32" s="246"/>
      <c r="CF32" s="246"/>
      <c r="CG32" s="246"/>
      <c r="CH32" s="246"/>
      <c r="CI32" s="246"/>
      <c r="CJ32" s="246"/>
      <c r="CK32" s="246"/>
      <c r="CL32" s="246"/>
      <c r="CM32" s="246"/>
      <c r="CN32" s="246"/>
      <c r="CO32" s="246"/>
      <c r="CP32" s="246"/>
      <c r="CQ32" s="246"/>
      <c r="CR32" s="246"/>
      <c r="CS32" s="246"/>
      <c r="CT32" s="246"/>
      <c r="CU32" s="246"/>
      <c r="CV32" s="246"/>
      <c r="CW32" s="246"/>
      <c r="CX32" s="246"/>
      <c r="CY32" s="246"/>
      <c r="CZ32" s="246"/>
      <c r="DA32" s="246"/>
      <c r="DB32" s="246"/>
      <c r="DC32" s="246"/>
      <c r="DD32" s="246"/>
      <c r="DE32" s="246"/>
      <c r="DF32" s="246"/>
      <c r="DG32" s="246"/>
      <c r="DH32" s="246"/>
      <c r="DI32" s="246"/>
      <c r="DJ32" s="246"/>
      <c r="DK32" s="246"/>
      <c r="DL32" s="246"/>
      <c r="DM32" s="246"/>
      <c r="DN32" s="246"/>
      <c r="DO32" s="246"/>
      <c r="DP32" s="246"/>
      <c r="DQ32" s="246"/>
      <c r="DR32" s="246"/>
      <c r="DS32" s="246"/>
      <c r="DT32" s="246"/>
      <c r="DU32" s="246"/>
      <c r="DV32" s="246"/>
      <c r="DW32" s="246"/>
      <c r="DX32" s="246"/>
      <c r="DY32" s="246"/>
      <c r="DZ32" s="246"/>
      <c r="EA32" s="246"/>
      <c r="EB32" s="246"/>
      <c r="EC32" s="246"/>
      <c r="ED32" s="246"/>
      <c r="EE32" s="246"/>
      <c r="EF32" s="246"/>
      <c r="EG32" s="246"/>
      <c r="EH32" s="246"/>
      <c r="EI32" s="246"/>
      <c r="EJ32" s="246"/>
      <c r="EK32" s="246"/>
      <c r="EL32" s="246"/>
      <c r="EM32" s="246"/>
      <c r="EN32" s="246"/>
      <c r="EO32" s="246"/>
      <c r="EP32" s="246"/>
      <c r="EQ32" s="246"/>
      <c r="ER32" s="246"/>
      <c r="ES32" s="246"/>
      <c r="ET32" s="246"/>
      <c r="EU32" s="246"/>
      <c r="EV32" s="246"/>
      <c r="EW32" s="246"/>
      <c r="EX32" s="246"/>
      <c r="EY32" s="246"/>
      <c r="EZ32" s="246"/>
      <c r="FA32" s="246"/>
      <c r="FB32" s="246"/>
      <c r="FC32" s="246"/>
      <c r="FD32" s="246"/>
      <c r="FE32" s="246"/>
      <c r="FF32" s="246"/>
      <c r="FG32" s="246"/>
      <c r="FH32" s="246"/>
      <c r="FI32" s="246"/>
      <c r="FJ32" s="246"/>
      <c r="FK32" s="246"/>
      <c r="FL32" s="246"/>
      <c r="FM32" s="246"/>
      <c r="FN32" s="246"/>
      <c r="FO32" s="246"/>
      <c r="FP32" s="246"/>
      <c r="FQ32" s="246"/>
      <c r="FR32" s="246"/>
      <c r="FS32" s="246"/>
      <c r="FT32" s="246"/>
      <c r="FU32" s="246"/>
      <c r="FV32" s="246"/>
      <c r="FW32" s="246"/>
      <c r="FX32" s="246"/>
      <c r="FY32" s="246"/>
      <c r="FZ32" s="246"/>
      <c r="GA32" s="246"/>
      <c r="GB32" s="246"/>
      <c r="GC32" s="246"/>
      <c r="GD32" s="246"/>
    </row>
    <row r="33" spans="1:186">
      <c r="A33" s="246"/>
      <c r="B33" s="246"/>
      <c r="C33" s="246"/>
      <c r="D33" s="246"/>
      <c r="E33" s="246"/>
      <c r="F33" s="246"/>
      <c r="G33" s="246"/>
      <c r="H33" s="246"/>
      <c r="I33" s="246"/>
      <c r="J33" s="246"/>
      <c r="K33" s="246"/>
      <c r="L33" s="246"/>
      <c r="M33" s="246"/>
      <c r="N33" s="246"/>
      <c r="O33" s="246"/>
      <c r="P33" s="246"/>
      <c r="Q33" s="246"/>
      <c r="R33" s="246"/>
      <c r="S33" s="246"/>
      <c r="T33" s="246"/>
      <c r="U33" s="246"/>
      <c r="V33" s="246"/>
      <c r="W33" s="246"/>
      <c r="X33" s="246"/>
      <c r="Y33" s="246"/>
      <c r="Z33" s="246"/>
      <c r="AA33" s="246"/>
      <c r="AB33" s="246"/>
      <c r="AC33" s="246"/>
      <c r="AD33" s="246"/>
      <c r="AE33" s="246"/>
      <c r="AF33" s="246"/>
      <c r="AG33" s="246"/>
      <c r="AH33" s="246"/>
      <c r="AI33" s="246"/>
      <c r="AJ33" s="246"/>
      <c r="AK33" s="246"/>
      <c r="AL33" s="246"/>
      <c r="AM33" s="246"/>
      <c r="AN33" s="246"/>
      <c r="AO33" s="246"/>
      <c r="AP33" s="246"/>
      <c r="AQ33" s="246"/>
      <c r="AR33" s="246"/>
      <c r="AS33" s="246"/>
      <c r="AT33" s="246"/>
      <c r="AU33" s="246"/>
      <c r="AV33" s="246"/>
      <c r="AW33" s="246"/>
      <c r="AX33" s="246"/>
      <c r="AY33" s="246"/>
      <c r="AZ33" s="246"/>
      <c r="BA33" s="246"/>
      <c r="BB33" s="246"/>
      <c r="BC33" s="246"/>
      <c r="BD33" s="246"/>
      <c r="BE33" s="246"/>
      <c r="BF33" s="246"/>
      <c r="BG33" s="246"/>
      <c r="BH33" s="246"/>
      <c r="BI33" s="246"/>
      <c r="BJ33" s="246"/>
      <c r="BK33" s="246"/>
      <c r="BL33" s="246"/>
      <c r="BM33" s="246"/>
      <c r="BN33" s="246"/>
      <c r="BO33" s="246"/>
      <c r="BP33" s="246"/>
      <c r="BQ33" s="246"/>
      <c r="BR33" s="246"/>
      <c r="BS33" s="246"/>
      <c r="BT33" s="246"/>
      <c r="BU33" s="246"/>
      <c r="BV33" s="246"/>
      <c r="BW33" s="246"/>
      <c r="BX33" s="246"/>
      <c r="BY33" s="246"/>
      <c r="BZ33" s="246"/>
      <c r="CA33" s="246"/>
      <c r="CB33" s="246"/>
      <c r="CC33" s="246"/>
      <c r="CD33" s="246"/>
      <c r="CE33" s="246"/>
      <c r="CF33" s="246"/>
      <c r="CG33" s="246"/>
      <c r="CH33" s="246"/>
      <c r="CI33" s="246"/>
      <c r="CJ33" s="246"/>
      <c r="CK33" s="246"/>
      <c r="CL33" s="246"/>
      <c r="CM33" s="246"/>
      <c r="CN33" s="246"/>
      <c r="CO33" s="246"/>
      <c r="CP33" s="246"/>
      <c r="CQ33" s="246"/>
      <c r="CR33" s="246"/>
      <c r="CS33" s="246"/>
      <c r="CT33" s="246"/>
      <c r="CU33" s="246"/>
      <c r="CV33" s="246"/>
      <c r="CW33" s="246"/>
      <c r="CX33" s="246"/>
      <c r="CY33" s="246"/>
      <c r="CZ33" s="246"/>
      <c r="DA33" s="246"/>
      <c r="DB33" s="246"/>
      <c r="DC33" s="246"/>
      <c r="DD33" s="246"/>
      <c r="DE33" s="246"/>
      <c r="DF33" s="246"/>
      <c r="DG33" s="246"/>
      <c r="DH33" s="246"/>
      <c r="DI33" s="246"/>
      <c r="DJ33" s="246"/>
      <c r="DK33" s="246"/>
      <c r="DL33" s="246"/>
      <c r="DM33" s="246"/>
      <c r="DN33" s="246"/>
      <c r="DO33" s="246"/>
      <c r="DP33" s="246"/>
      <c r="DQ33" s="246"/>
      <c r="DR33" s="246"/>
      <c r="DS33" s="246"/>
      <c r="DT33" s="246"/>
      <c r="DU33" s="246"/>
      <c r="DV33" s="246"/>
      <c r="DW33" s="246"/>
      <c r="DX33" s="246"/>
      <c r="DY33" s="246"/>
      <c r="DZ33" s="246"/>
      <c r="EA33" s="246"/>
      <c r="EB33" s="246"/>
      <c r="EC33" s="246"/>
      <c r="ED33" s="246"/>
      <c r="EE33" s="246"/>
      <c r="EF33" s="246"/>
      <c r="EG33" s="246"/>
      <c r="EH33" s="246"/>
      <c r="EI33" s="246"/>
      <c r="EJ33" s="246"/>
      <c r="EK33" s="246"/>
      <c r="EL33" s="246"/>
      <c r="EM33" s="246"/>
      <c r="EN33" s="246"/>
      <c r="EO33" s="246"/>
      <c r="EP33" s="246"/>
      <c r="EQ33" s="246"/>
      <c r="ER33" s="246"/>
      <c r="ES33" s="246"/>
      <c r="ET33" s="246"/>
      <c r="EU33" s="246"/>
      <c r="EV33" s="246"/>
      <c r="EW33" s="246"/>
      <c r="EX33" s="246"/>
      <c r="EY33" s="246"/>
      <c r="EZ33" s="246"/>
      <c r="FA33" s="246"/>
      <c r="FB33" s="246"/>
      <c r="FC33" s="246"/>
      <c r="FD33" s="246"/>
      <c r="FE33" s="246"/>
      <c r="FF33" s="246"/>
      <c r="FG33" s="246"/>
      <c r="FH33" s="246"/>
      <c r="FI33" s="246"/>
      <c r="FJ33" s="246"/>
      <c r="FK33" s="246"/>
      <c r="FL33" s="246"/>
      <c r="FM33" s="246"/>
      <c r="FN33" s="246"/>
      <c r="FO33" s="246"/>
      <c r="FP33" s="246"/>
      <c r="FQ33" s="246"/>
      <c r="FR33" s="246"/>
      <c r="FS33" s="246"/>
      <c r="FT33" s="246"/>
      <c r="FU33" s="246"/>
      <c r="FV33" s="246"/>
      <c r="FW33" s="246"/>
      <c r="FX33" s="246"/>
      <c r="FY33" s="246"/>
      <c r="FZ33" s="246"/>
      <c r="GA33" s="246"/>
      <c r="GB33" s="246"/>
      <c r="GC33" s="246"/>
      <c r="GD33" s="246"/>
    </row>
    <row r="34" spans="1:186">
      <c r="A34" s="246"/>
      <c r="B34" s="246"/>
      <c r="C34" s="246"/>
      <c r="D34" s="246"/>
      <c r="E34" s="246"/>
      <c r="F34" s="246"/>
      <c r="G34" s="246"/>
      <c r="H34" s="246"/>
      <c r="I34" s="246"/>
      <c r="J34" s="246"/>
      <c r="K34" s="246"/>
      <c r="L34" s="246"/>
      <c r="M34" s="246"/>
      <c r="N34" s="246"/>
      <c r="O34" s="246"/>
      <c r="P34" s="246"/>
      <c r="Q34" s="246"/>
      <c r="R34" s="246"/>
      <c r="S34" s="246"/>
      <c r="T34" s="246"/>
      <c r="U34" s="246"/>
      <c r="V34" s="246"/>
      <c r="W34" s="246"/>
      <c r="X34" s="246"/>
      <c r="Y34" s="246"/>
      <c r="Z34" s="246"/>
      <c r="AA34" s="246"/>
      <c r="AB34" s="246"/>
      <c r="AC34" s="246"/>
      <c r="AD34" s="246"/>
      <c r="AE34" s="246"/>
      <c r="AF34" s="246"/>
      <c r="AG34" s="246"/>
      <c r="AH34" s="246"/>
      <c r="AI34" s="246"/>
      <c r="AJ34" s="246"/>
      <c r="AK34" s="246"/>
      <c r="AL34" s="246"/>
      <c r="AM34" s="246"/>
      <c r="AN34" s="246"/>
      <c r="AO34" s="246"/>
      <c r="AP34" s="246"/>
      <c r="AQ34" s="246"/>
      <c r="AR34" s="246"/>
      <c r="AS34" s="246"/>
      <c r="AT34" s="246"/>
      <c r="AU34" s="246"/>
      <c r="AV34" s="246"/>
      <c r="AW34" s="246"/>
      <c r="AX34" s="246"/>
      <c r="AY34" s="246"/>
      <c r="AZ34" s="246"/>
      <c r="BA34" s="246"/>
      <c r="BB34" s="246"/>
      <c r="BC34" s="246"/>
      <c r="BD34" s="246"/>
      <c r="BE34" s="246"/>
      <c r="BF34" s="246"/>
      <c r="BG34" s="246"/>
      <c r="BH34" s="246"/>
      <c r="BI34" s="246"/>
      <c r="BJ34" s="246"/>
      <c r="BK34" s="246"/>
      <c r="BL34" s="246"/>
      <c r="BM34" s="246"/>
      <c r="BN34" s="246"/>
      <c r="BO34" s="246"/>
      <c r="BP34" s="246"/>
      <c r="BQ34" s="246"/>
      <c r="BR34" s="246"/>
      <c r="BS34" s="246"/>
      <c r="BT34" s="246"/>
      <c r="BU34" s="246"/>
      <c r="BV34" s="246"/>
      <c r="BW34" s="246"/>
      <c r="BX34" s="246"/>
      <c r="BY34" s="246"/>
      <c r="BZ34" s="246"/>
      <c r="CA34" s="246"/>
      <c r="CB34" s="246"/>
      <c r="CC34" s="246"/>
      <c r="CD34" s="246"/>
      <c r="CE34" s="246"/>
      <c r="CF34" s="246"/>
      <c r="CG34" s="246"/>
      <c r="CH34" s="246"/>
      <c r="CI34" s="246"/>
      <c r="CJ34" s="246"/>
      <c r="CK34" s="246"/>
      <c r="CL34" s="246"/>
      <c r="CM34" s="246"/>
      <c r="CN34" s="246"/>
      <c r="CO34" s="246"/>
      <c r="CP34" s="246"/>
      <c r="CQ34" s="246"/>
      <c r="CR34" s="246"/>
      <c r="CS34" s="246"/>
      <c r="CT34" s="246"/>
      <c r="CU34" s="246"/>
      <c r="CV34" s="246"/>
      <c r="CW34" s="246"/>
      <c r="CX34" s="246"/>
      <c r="CY34" s="246"/>
      <c r="CZ34" s="246"/>
      <c r="DA34" s="246"/>
      <c r="DB34" s="246"/>
      <c r="DC34" s="246"/>
      <c r="DD34" s="246"/>
      <c r="DE34" s="246"/>
      <c r="DF34" s="246"/>
      <c r="DG34" s="246"/>
      <c r="DH34" s="246"/>
      <c r="DI34" s="246"/>
      <c r="DJ34" s="246"/>
      <c r="DK34" s="246"/>
      <c r="DL34" s="246"/>
      <c r="DM34" s="246"/>
      <c r="DN34" s="246"/>
      <c r="DO34" s="246"/>
      <c r="DP34" s="246"/>
      <c r="DQ34" s="246"/>
      <c r="DR34" s="246"/>
      <c r="DS34" s="246"/>
      <c r="DT34" s="246"/>
      <c r="DU34" s="246"/>
      <c r="DV34" s="246"/>
      <c r="DW34" s="246"/>
      <c r="DX34" s="246"/>
      <c r="DY34" s="246"/>
      <c r="DZ34" s="246"/>
      <c r="EA34" s="246"/>
      <c r="EB34" s="246"/>
      <c r="EC34" s="246"/>
      <c r="ED34" s="246"/>
      <c r="EE34" s="246"/>
      <c r="EF34" s="246"/>
      <c r="EG34" s="246"/>
      <c r="EH34" s="246"/>
      <c r="EI34" s="246"/>
      <c r="EJ34" s="246"/>
      <c r="EK34" s="246"/>
      <c r="EL34" s="246"/>
      <c r="EM34" s="246"/>
      <c r="EN34" s="246"/>
      <c r="EO34" s="246"/>
      <c r="EP34" s="246"/>
      <c r="EQ34" s="246"/>
      <c r="ER34" s="246"/>
      <c r="ES34" s="246"/>
      <c r="ET34" s="246"/>
      <c r="EU34" s="246"/>
      <c r="EV34" s="246"/>
      <c r="EW34" s="246"/>
      <c r="EX34" s="246"/>
      <c r="EY34" s="246"/>
      <c r="EZ34" s="246"/>
      <c r="FA34" s="246"/>
      <c r="FB34" s="246"/>
      <c r="FC34" s="246"/>
      <c r="FD34" s="246"/>
      <c r="FE34" s="246"/>
      <c r="FF34" s="246"/>
      <c r="FG34" s="246"/>
      <c r="FH34" s="246"/>
      <c r="FI34" s="246"/>
      <c r="FJ34" s="246"/>
      <c r="FK34" s="246"/>
      <c r="FL34" s="246"/>
      <c r="FM34" s="246"/>
      <c r="FN34" s="246"/>
      <c r="FO34" s="246"/>
      <c r="FP34" s="246"/>
      <c r="FQ34" s="246"/>
      <c r="FR34" s="246"/>
      <c r="FS34" s="246"/>
      <c r="FT34" s="246"/>
      <c r="FU34" s="246"/>
      <c r="FV34" s="246"/>
      <c r="FW34" s="246"/>
      <c r="FX34" s="246"/>
      <c r="FY34" s="246"/>
      <c r="FZ34" s="246"/>
      <c r="GA34" s="246"/>
      <c r="GB34" s="246"/>
      <c r="GC34" s="246"/>
      <c r="GD34" s="246"/>
    </row>
    <row r="35" spans="1:186">
      <c r="A35" s="246"/>
      <c r="B35" s="246"/>
      <c r="C35" s="246"/>
      <c r="D35" s="246"/>
      <c r="E35" s="246"/>
      <c r="F35" s="246"/>
      <c r="G35" s="246"/>
      <c r="H35" s="246"/>
      <c r="I35" s="246"/>
      <c r="J35" s="246"/>
      <c r="K35" s="246"/>
      <c r="L35" s="246"/>
      <c r="M35" s="246"/>
      <c r="N35" s="246"/>
      <c r="O35" s="246"/>
      <c r="P35" s="246"/>
      <c r="Q35" s="246"/>
      <c r="R35" s="246"/>
      <c r="S35" s="246"/>
      <c r="T35" s="246"/>
      <c r="U35" s="246"/>
      <c r="V35" s="246"/>
      <c r="W35" s="246"/>
      <c r="X35" s="246"/>
      <c r="Y35" s="246"/>
      <c r="Z35" s="246"/>
      <c r="AA35" s="246"/>
      <c r="AB35" s="246"/>
      <c r="AC35" s="246"/>
      <c r="AD35" s="246"/>
      <c r="AE35" s="246"/>
      <c r="AF35" s="246"/>
      <c r="AG35" s="246"/>
      <c r="AH35" s="246"/>
      <c r="AI35" s="246"/>
      <c r="AJ35" s="246"/>
      <c r="AK35" s="246"/>
      <c r="AL35" s="246"/>
      <c r="AM35" s="246"/>
      <c r="AN35" s="246"/>
      <c r="AO35" s="246"/>
      <c r="AP35" s="246"/>
      <c r="AQ35" s="246"/>
      <c r="AR35" s="246"/>
      <c r="AS35" s="246"/>
      <c r="AT35" s="246"/>
      <c r="AU35" s="246"/>
      <c r="AV35" s="246"/>
      <c r="AW35" s="246"/>
      <c r="AX35" s="246"/>
      <c r="AY35" s="246"/>
      <c r="AZ35" s="246"/>
      <c r="BA35" s="246"/>
      <c r="BB35" s="246"/>
      <c r="BC35" s="246"/>
      <c r="BD35" s="246"/>
      <c r="BE35" s="246"/>
      <c r="BF35" s="246"/>
      <c r="BG35" s="246"/>
      <c r="BH35" s="246"/>
      <c r="BI35" s="246"/>
      <c r="BJ35" s="246"/>
      <c r="BK35" s="246"/>
      <c r="BL35" s="246"/>
      <c r="BM35" s="246"/>
      <c r="BN35" s="246"/>
      <c r="BO35" s="246"/>
      <c r="BP35" s="246"/>
      <c r="BQ35" s="246"/>
      <c r="BR35" s="246"/>
      <c r="BS35" s="246"/>
      <c r="BT35" s="246"/>
      <c r="BU35" s="246"/>
      <c r="BV35" s="246"/>
      <c r="BW35" s="246"/>
      <c r="BX35" s="246"/>
      <c r="BY35" s="246"/>
      <c r="BZ35" s="246"/>
      <c r="CA35" s="246"/>
      <c r="CB35" s="246"/>
      <c r="CC35" s="246"/>
      <c r="CD35" s="246"/>
      <c r="CE35" s="246"/>
      <c r="CF35" s="246"/>
      <c r="CG35" s="246"/>
      <c r="CH35" s="246"/>
      <c r="CI35" s="246"/>
      <c r="CJ35" s="246"/>
      <c r="CK35" s="246"/>
      <c r="CL35" s="246"/>
      <c r="CM35" s="246"/>
      <c r="CN35" s="246"/>
      <c r="CO35" s="246"/>
      <c r="CP35" s="246"/>
      <c r="CQ35" s="246"/>
      <c r="CR35" s="246"/>
      <c r="CS35" s="246"/>
      <c r="CT35" s="246"/>
      <c r="CU35" s="246"/>
      <c r="CV35" s="246"/>
      <c r="CW35" s="246"/>
      <c r="CX35" s="246"/>
      <c r="CY35" s="246"/>
      <c r="CZ35" s="246"/>
      <c r="DA35" s="246"/>
      <c r="DB35" s="246"/>
      <c r="DC35" s="246"/>
      <c r="DD35" s="246"/>
      <c r="DE35" s="246"/>
      <c r="DF35" s="246"/>
      <c r="DG35" s="246"/>
      <c r="DH35" s="246"/>
      <c r="DI35" s="246"/>
      <c r="DJ35" s="246"/>
      <c r="DK35" s="246"/>
      <c r="DL35" s="246"/>
      <c r="DM35" s="246"/>
      <c r="DN35" s="246"/>
      <c r="DO35" s="246"/>
      <c r="DP35" s="246"/>
      <c r="DQ35" s="246"/>
      <c r="DR35" s="246"/>
      <c r="DS35" s="246"/>
      <c r="DT35" s="246"/>
      <c r="DU35" s="246"/>
      <c r="DV35" s="246"/>
      <c r="DW35" s="246"/>
      <c r="DX35" s="246"/>
      <c r="DY35" s="246"/>
      <c r="DZ35" s="246"/>
      <c r="EA35" s="246"/>
      <c r="EB35" s="246"/>
      <c r="EC35" s="246"/>
      <c r="ED35" s="246"/>
      <c r="EE35" s="246"/>
      <c r="EF35" s="246"/>
      <c r="EG35" s="246"/>
      <c r="EH35" s="246"/>
      <c r="EI35" s="246"/>
      <c r="EJ35" s="246"/>
      <c r="EK35" s="246"/>
      <c r="EL35" s="246"/>
      <c r="EM35" s="246"/>
      <c r="EN35" s="246"/>
      <c r="EO35" s="246"/>
      <c r="EP35" s="246"/>
      <c r="EQ35" s="246"/>
      <c r="ER35" s="246"/>
      <c r="ES35" s="246"/>
      <c r="ET35" s="246"/>
      <c r="EU35" s="246"/>
      <c r="EV35" s="246"/>
      <c r="EW35" s="246"/>
      <c r="EX35" s="246"/>
      <c r="EY35" s="246"/>
      <c r="EZ35" s="246"/>
      <c r="FA35" s="246"/>
      <c r="FB35" s="246"/>
      <c r="FC35" s="246"/>
      <c r="FD35" s="246"/>
      <c r="FE35" s="246"/>
      <c r="FF35" s="246"/>
      <c r="FG35" s="246"/>
      <c r="FH35" s="246"/>
      <c r="FI35" s="246"/>
      <c r="FJ35" s="246"/>
      <c r="FK35" s="246"/>
      <c r="FL35" s="246"/>
      <c r="FM35" s="246"/>
      <c r="FN35" s="246"/>
      <c r="FO35" s="246"/>
      <c r="FP35" s="246"/>
      <c r="FQ35" s="246"/>
      <c r="FR35" s="246"/>
      <c r="FS35" s="246"/>
      <c r="FT35" s="246"/>
      <c r="FU35" s="246"/>
      <c r="FV35" s="246"/>
      <c r="FW35" s="246"/>
      <c r="FX35" s="246"/>
      <c r="FY35" s="246"/>
      <c r="FZ35" s="246"/>
      <c r="GA35" s="246"/>
      <c r="GB35" s="246"/>
      <c r="GC35" s="246"/>
      <c r="GD35" s="246"/>
    </row>
    <row r="36" spans="1:186">
      <c r="A36" s="246"/>
      <c r="B36" s="246"/>
      <c r="C36" s="246"/>
      <c r="D36" s="246"/>
      <c r="E36" s="246"/>
      <c r="F36" s="246"/>
      <c r="G36" s="246"/>
      <c r="H36" s="246"/>
      <c r="I36" s="246"/>
      <c r="J36" s="246"/>
      <c r="K36" s="246"/>
      <c r="L36" s="246"/>
      <c r="M36" s="246"/>
      <c r="N36" s="246"/>
      <c r="O36" s="246"/>
      <c r="P36" s="246"/>
      <c r="Q36" s="246"/>
      <c r="R36" s="246"/>
      <c r="S36" s="246"/>
      <c r="T36" s="246"/>
      <c r="U36" s="246"/>
      <c r="V36" s="246"/>
      <c r="W36" s="246"/>
      <c r="X36" s="246"/>
      <c r="Y36" s="246"/>
      <c r="Z36" s="246"/>
      <c r="AA36" s="246"/>
      <c r="AB36" s="246"/>
      <c r="AC36" s="246"/>
      <c r="AD36" s="246"/>
      <c r="AE36" s="246"/>
      <c r="AF36" s="246"/>
      <c r="AG36" s="246"/>
      <c r="AH36" s="246"/>
      <c r="AI36" s="246"/>
      <c r="AJ36" s="246"/>
      <c r="AK36" s="246"/>
      <c r="AL36" s="246"/>
      <c r="AM36" s="246"/>
      <c r="AN36" s="246"/>
      <c r="AO36" s="246"/>
      <c r="AP36" s="246"/>
      <c r="AQ36" s="246"/>
      <c r="AR36" s="246"/>
      <c r="AS36" s="246"/>
      <c r="AT36" s="246"/>
      <c r="AU36" s="246"/>
      <c r="AV36" s="246"/>
      <c r="AW36" s="246"/>
      <c r="AX36" s="246"/>
      <c r="AY36" s="246"/>
      <c r="AZ36" s="246"/>
      <c r="BA36" s="246"/>
      <c r="BB36" s="246"/>
      <c r="BC36" s="246"/>
      <c r="BD36" s="246"/>
      <c r="BE36" s="246"/>
      <c r="BF36" s="246"/>
      <c r="BG36" s="246"/>
      <c r="BH36" s="246"/>
      <c r="BI36" s="246"/>
      <c r="BJ36" s="246"/>
      <c r="BK36" s="246"/>
      <c r="BL36" s="246"/>
      <c r="BM36" s="246"/>
      <c r="BN36" s="246"/>
      <c r="BO36" s="246"/>
      <c r="BP36" s="246"/>
      <c r="BQ36" s="246"/>
      <c r="BR36" s="246"/>
      <c r="BS36" s="246"/>
      <c r="BT36" s="246"/>
      <c r="BU36" s="246"/>
      <c r="BV36" s="246"/>
      <c r="BW36" s="246"/>
      <c r="BX36" s="246"/>
      <c r="BY36" s="246"/>
      <c r="BZ36" s="246"/>
      <c r="CA36" s="246"/>
      <c r="CB36" s="246"/>
      <c r="CC36" s="246"/>
      <c r="CD36" s="246"/>
      <c r="CE36" s="246"/>
      <c r="CF36" s="246"/>
      <c r="CG36" s="246"/>
      <c r="CH36" s="246"/>
      <c r="CI36" s="246"/>
      <c r="CJ36" s="246"/>
      <c r="CK36" s="246"/>
      <c r="CL36" s="246"/>
      <c r="CM36" s="246"/>
      <c r="CN36" s="246"/>
      <c r="CO36" s="246"/>
      <c r="CP36" s="246"/>
      <c r="CQ36" s="246"/>
      <c r="CR36" s="246"/>
      <c r="CS36" s="246"/>
      <c r="CT36" s="246"/>
      <c r="CU36" s="246"/>
      <c r="CV36" s="246"/>
      <c r="CW36" s="246"/>
      <c r="CX36" s="246"/>
      <c r="CY36" s="246"/>
      <c r="CZ36" s="246"/>
      <c r="DA36" s="246"/>
      <c r="DB36" s="246"/>
      <c r="DC36" s="246"/>
      <c r="DD36" s="246"/>
      <c r="DE36" s="246"/>
      <c r="DF36" s="246"/>
      <c r="DG36" s="246"/>
      <c r="DH36" s="246"/>
      <c r="DI36" s="246"/>
      <c r="DJ36" s="246"/>
      <c r="DK36" s="246"/>
      <c r="DL36" s="246"/>
      <c r="DM36" s="246"/>
      <c r="DN36" s="246"/>
      <c r="DO36" s="246"/>
      <c r="DP36" s="246"/>
      <c r="DQ36" s="246"/>
      <c r="DR36" s="246"/>
      <c r="DS36" s="246"/>
      <c r="DT36" s="246"/>
      <c r="DU36" s="246"/>
      <c r="DV36" s="246"/>
      <c r="DW36" s="246"/>
      <c r="DX36" s="246"/>
      <c r="DY36" s="246"/>
      <c r="DZ36" s="246"/>
      <c r="EA36" s="246"/>
      <c r="EB36" s="246"/>
      <c r="EC36" s="246"/>
      <c r="ED36" s="246"/>
      <c r="EE36" s="246"/>
      <c r="EF36" s="246"/>
      <c r="EG36" s="246"/>
      <c r="EH36" s="246"/>
      <c r="EI36" s="246"/>
      <c r="EJ36" s="246"/>
      <c r="EK36" s="246"/>
      <c r="EL36" s="246"/>
      <c r="EM36" s="246"/>
      <c r="EN36" s="246"/>
      <c r="EO36" s="246"/>
      <c r="EP36" s="246"/>
      <c r="EQ36" s="246"/>
      <c r="ER36" s="246"/>
      <c r="ES36" s="246"/>
      <c r="ET36" s="246"/>
      <c r="EU36" s="246"/>
      <c r="EV36" s="246"/>
      <c r="EW36" s="246"/>
      <c r="EX36" s="246"/>
      <c r="EY36" s="246"/>
      <c r="EZ36" s="246"/>
      <c r="FA36" s="246"/>
      <c r="FB36" s="246"/>
      <c r="FC36" s="246"/>
      <c r="FD36" s="246"/>
      <c r="FE36" s="246"/>
      <c r="FF36" s="246"/>
      <c r="FG36" s="246"/>
      <c r="FH36" s="246"/>
      <c r="FI36" s="246"/>
      <c r="FJ36" s="246"/>
      <c r="FK36" s="246"/>
      <c r="FL36" s="246"/>
      <c r="FM36" s="246"/>
      <c r="FN36" s="246"/>
      <c r="FO36" s="246"/>
      <c r="FP36" s="246"/>
      <c r="FQ36" s="246"/>
      <c r="FR36" s="246"/>
      <c r="FS36" s="246"/>
      <c r="FT36" s="246"/>
      <c r="FU36" s="246"/>
      <c r="FV36" s="246"/>
      <c r="FW36" s="246"/>
      <c r="FX36" s="246"/>
      <c r="FY36" s="246"/>
      <c r="FZ36" s="246"/>
      <c r="GA36" s="246"/>
      <c r="GB36" s="246"/>
      <c r="GC36" s="246"/>
      <c r="GD36" s="246"/>
    </row>
    <row r="37" spans="1:186">
      <c r="A37" s="246"/>
      <c r="B37" s="246"/>
      <c r="C37" s="246"/>
      <c r="D37" s="246"/>
      <c r="E37" s="246"/>
      <c r="F37" s="246"/>
      <c r="G37" s="246"/>
      <c r="H37" s="246"/>
      <c r="I37" s="246"/>
      <c r="J37" s="246"/>
      <c r="K37" s="246"/>
      <c r="L37" s="246"/>
      <c r="M37" s="246"/>
      <c r="N37" s="246"/>
      <c r="O37" s="246"/>
      <c r="P37" s="246"/>
      <c r="Q37" s="246"/>
      <c r="R37" s="246"/>
      <c r="S37" s="246"/>
      <c r="T37" s="246"/>
      <c r="U37" s="246"/>
      <c r="V37" s="246"/>
      <c r="W37" s="246"/>
      <c r="X37" s="246"/>
      <c r="Y37" s="246"/>
      <c r="Z37" s="246"/>
      <c r="AA37" s="246"/>
      <c r="AB37" s="246"/>
      <c r="AC37" s="246"/>
      <c r="AD37" s="246"/>
      <c r="AE37" s="246"/>
      <c r="AF37" s="246"/>
      <c r="AG37" s="246"/>
      <c r="AH37" s="246"/>
      <c r="AI37" s="246"/>
      <c r="AJ37" s="246"/>
      <c r="AK37" s="246"/>
      <c r="AL37" s="246"/>
      <c r="AM37" s="246"/>
      <c r="AN37" s="246"/>
      <c r="AO37" s="246"/>
      <c r="AP37" s="246"/>
      <c r="AQ37" s="246"/>
      <c r="AR37" s="246"/>
      <c r="AS37" s="246"/>
      <c r="AT37" s="246"/>
      <c r="AU37" s="246"/>
      <c r="AV37" s="246"/>
      <c r="AW37" s="246"/>
      <c r="AX37" s="246"/>
      <c r="AY37" s="246"/>
      <c r="AZ37" s="246"/>
      <c r="BA37" s="246"/>
      <c r="BB37" s="246"/>
      <c r="BC37" s="246"/>
      <c r="BD37" s="246"/>
      <c r="BE37" s="246"/>
      <c r="BF37" s="246"/>
      <c r="BG37" s="246"/>
      <c r="BH37" s="246"/>
      <c r="BI37" s="246"/>
      <c r="BJ37" s="246"/>
      <c r="BK37" s="246"/>
      <c r="BL37" s="246"/>
      <c r="BM37" s="246"/>
      <c r="BN37" s="246"/>
      <c r="BO37" s="246"/>
      <c r="BP37" s="246"/>
      <c r="BQ37" s="246"/>
      <c r="BR37" s="246"/>
      <c r="BS37" s="246"/>
      <c r="BT37" s="246"/>
      <c r="BU37" s="246"/>
      <c r="BV37" s="246"/>
      <c r="BW37" s="246"/>
      <c r="BX37" s="246"/>
      <c r="BY37" s="246"/>
      <c r="BZ37" s="246"/>
      <c r="CA37" s="246"/>
      <c r="CB37" s="246"/>
      <c r="CC37" s="246"/>
      <c r="CD37" s="246"/>
      <c r="CE37" s="246"/>
      <c r="CF37" s="246"/>
      <c r="CG37" s="246"/>
      <c r="CH37" s="246"/>
      <c r="CI37" s="246"/>
      <c r="CJ37" s="246"/>
      <c r="CK37" s="246"/>
      <c r="CL37" s="246"/>
      <c r="CM37" s="246"/>
      <c r="CN37" s="246"/>
      <c r="CO37" s="246"/>
      <c r="CP37" s="246"/>
      <c r="CQ37" s="246"/>
      <c r="CR37" s="246"/>
      <c r="CS37" s="246"/>
      <c r="CT37" s="246"/>
      <c r="CU37" s="246"/>
      <c r="CV37" s="246"/>
      <c r="CW37" s="246"/>
      <c r="CX37" s="246"/>
      <c r="CY37" s="246"/>
      <c r="CZ37" s="246"/>
      <c r="DA37" s="246"/>
      <c r="DB37" s="246"/>
      <c r="DC37" s="246"/>
      <c r="DD37" s="246"/>
      <c r="DE37" s="246"/>
      <c r="DF37" s="246"/>
      <c r="DG37" s="246"/>
      <c r="DH37" s="246"/>
      <c r="DI37" s="246"/>
      <c r="DJ37" s="246"/>
      <c r="DK37" s="246"/>
      <c r="DL37" s="246"/>
      <c r="DM37" s="246"/>
      <c r="DN37" s="246"/>
      <c r="DO37" s="246"/>
      <c r="DP37" s="246"/>
      <c r="DQ37" s="246"/>
      <c r="DR37" s="246"/>
      <c r="DS37" s="246"/>
      <c r="DT37" s="246"/>
      <c r="DU37" s="246"/>
      <c r="DV37" s="246"/>
      <c r="DW37" s="246"/>
      <c r="DX37" s="246"/>
      <c r="DY37" s="246"/>
      <c r="DZ37" s="246"/>
      <c r="EA37" s="246"/>
      <c r="EB37" s="246"/>
      <c r="EC37" s="246"/>
      <c r="ED37" s="246"/>
      <c r="EE37" s="246"/>
      <c r="EF37" s="246"/>
      <c r="EG37" s="246"/>
      <c r="EH37" s="246"/>
      <c r="EI37" s="246"/>
      <c r="EJ37" s="246"/>
      <c r="EK37" s="246"/>
      <c r="EL37" s="246"/>
      <c r="EM37" s="246"/>
      <c r="EN37" s="246"/>
      <c r="EO37" s="246"/>
      <c r="EP37" s="246"/>
      <c r="EQ37" s="246"/>
      <c r="ER37" s="246"/>
      <c r="ES37" s="246"/>
      <c r="ET37" s="246"/>
      <c r="EU37" s="246"/>
      <c r="EV37" s="246"/>
      <c r="EW37" s="246"/>
      <c r="EX37" s="246"/>
      <c r="EY37" s="246"/>
      <c r="EZ37" s="246"/>
      <c r="FA37" s="246"/>
      <c r="FB37" s="246"/>
      <c r="FC37" s="246"/>
      <c r="FD37" s="246"/>
      <c r="FE37" s="246"/>
      <c r="FF37" s="246"/>
      <c r="FG37" s="246"/>
      <c r="FH37" s="246"/>
      <c r="FI37" s="246"/>
      <c r="FJ37" s="246"/>
      <c r="FK37" s="246"/>
      <c r="FL37" s="246"/>
      <c r="FM37" s="246"/>
      <c r="FN37" s="246"/>
      <c r="FO37" s="246"/>
      <c r="FP37" s="246"/>
      <c r="FQ37" s="246"/>
      <c r="FR37" s="246"/>
      <c r="FS37" s="246"/>
      <c r="FT37" s="246"/>
      <c r="FU37" s="246"/>
      <c r="FV37" s="246"/>
      <c r="FW37" s="246"/>
      <c r="FX37" s="246"/>
      <c r="FY37" s="246"/>
      <c r="FZ37" s="246"/>
      <c r="GA37" s="246"/>
      <c r="GB37" s="246"/>
      <c r="GC37" s="246"/>
      <c r="GD37" s="246"/>
    </row>
    <row r="38" spans="1:186">
      <c r="A38" s="246"/>
      <c r="B38" s="246"/>
      <c r="C38" s="246"/>
      <c r="D38" s="246"/>
      <c r="E38" s="246"/>
      <c r="F38" s="246"/>
      <c r="G38" s="246"/>
      <c r="H38" s="246"/>
      <c r="I38" s="246"/>
      <c r="J38" s="246"/>
      <c r="K38" s="246"/>
      <c r="L38" s="246"/>
      <c r="M38" s="246"/>
      <c r="N38" s="246"/>
      <c r="O38" s="246"/>
      <c r="P38" s="246"/>
      <c r="Q38" s="246"/>
      <c r="R38" s="246"/>
      <c r="S38" s="246"/>
      <c r="T38" s="246"/>
      <c r="U38" s="246"/>
      <c r="V38" s="246"/>
      <c r="W38" s="246"/>
      <c r="X38" s="246"/>
      <c r="Y38" s="246"/>
      <c r="Z38" s="246"/>
      <c r="AA38" s="246"/>
      <c r="AB38" s="246"/>
      <c r="AC38" s="246"/>
      <c r="AD38" s="246"/>
      <c r="AE38" s="246"/>
      <c r="AF38" s="246"/>
      <c r="AG38" s="246"/>
      <c r="AH38" s="246"/>
      <c r="AI38" s="246"/>
      <c r="AJ38" s="246"/>
      <c r="AK38" s="246"/>
      <c r="AL38" s="246"/>
      <c r="AM38" s="246"/>
      <c r="AN38" s="246"/>
      <c r="AO38" s="246"/>
      <c r="AP38" s="246"/>
      <c r="AQ38" s="246"/>
      <c r="AR38" s="246"/>
      <c r="AS38" s="246"/>
      <c r="AT38" s="246"/>
      <c r="AU38" s="246"/>
      <c r="AV38" s="246"/>
      <c r="AW38" s="246"/>
      <c r="AX38" s="246"/>
      <c r="AY38" s="246"/>
      <c r="AZ38" s="246"/>
      <c r="BA38" s="246"/>
      <c r="BB38" s="246"/>
      <c r="BC38" s="246"/>
      <c r="BD38" s="246"/>
      <c r="BE38" s="246"/>
      <c r="BF38" s="246"/>
      <c r="BG38" s="246"/>
      <c r="BH38" s="246"/>
      <c r="BI38" s="246"/>
      <c r="BJ38" s="246"/>
      <c r="BK38" s="246"/>
      <c r="BL38" s="246"/>
      <c r="BM38" s="246"/>
      <c r="BN38" s="246"/>
      <c r="BO38" s="246"/>
      <c r="BP38" s="246"/>
      <c r="BQ38" s="246"/>
      <c r="BR38" s="246"/>
      <c r="BS38" s="246"/>
      <c r="BT38" s="246"/>
      <c r="BU38" s="246"/>
      <c r="BV38" s="246"/>
      <c r="BW38" s="246"/>
      <c r="BX38" s="246"/>
      <c r="BY38" s="246"/>
      <c r="BZ38" s="246"/>
      <c r="CA38" s="246"/>
      <c r="CB38" s="246"/>
      <c r="CC38" s="246"/>
      <c r="CD38" s="246"/>
      <c r="CE38" s="246"/>
      <c r="CF38" s="246"/>
      <c r="CG38" s="246"/>
      <c r="CH38" s="246"/>
      <c r="CI38" s="246"/>
      <c r="CJ38" s="246"/>
      <c r="CK38" s="246"/>
      <c r="CL38" s="246"/>
      <c r="CM38" s="246"/>
      <c r="CN38" s="246"/>
      <c r="CO38" s="246"/>
      <c r="CP38" s="246"/>
      <c r="CQ38" s="246"/>
      <c r="CR38" s="246"/>
      <c r="CS38" s="246"/>
      <c r="CT38" s="246"/>
      <c r="CU38" s="246"/>
      <c r="CV38" s="246"/>
      <c r="CW38" s="246"/>
      <c r="CX38" s="246"/>
      <c r="CY38" s="246"/>
      <c r="CZ38" s="246"/>
      <c r="DA38" s="246"/>
      <c r="DB38" s="246"/>
      <c r="DC38" s="246"/>
      <c r="DD38" s="246"/>
      <c r="DE38" s="246"/>
      <c r="DF38" s="246"/>
      <c r="DG38" s="246"/>
      <c r="DH38" s="246"/>
      <c r="DI38" s="246"/>
      <c r="DJ38" s="246"/>
      <c r="DK38" s="246"/>
      <c r="DL38" s="246"/>
      <c r="DM38" s="246"/>
      <c r="DN38" s="246"/>
      <c r="DO38" s="246"/>
      <c r="DP38" s="246"/>
      <c r="DQ38" s="246"/>
      <c r="DR38" s="246"/>
      <c r="DS38" s="246"/>
      <c r="DT38" s="246"/>
      <c r="DU38" s="246"/>
      <c r="DV38" s="246"/>
      <c r="DW38" s="246"/>
      <c r="DX38" s="246"/>
      <c r="DY38" s="246"/>
      <c r="DZ38" s="246"/>
      <c r="EA38" s="246"/>
      <c r="EB38" s="246"/>
      <c r="EC38" s="246"/>
      <c r="ED38" s="246"/>
      <c r="EE38" s="246"/>
      <c r="EF38" s="246"/>
      <c r="EG38" s="246"/>
      <c r="EH38" s="246"/>
      <c r="EI38" s="246"/>
      <c r="EJ38" s="246"/>
      <c r="EK38" s="246"/>
      <c r="EL38" s="246"/>
      <c r="EM38" s="246"/>
      <c r="EN38" s="246"/>
      <c r="EO38" s="246"/>
      <c r="EP38" s="246"/>
      <c r="EQ38" s="246"/>
      <c r="ER38" s="246"/>
      <c r="ES38" s="246"/>
      <c r="ET38" s="246"/>
      <c r="EU38" s="246"/>
      <c r="EV38" s="246"/>
      <c r="EW38" s="246"/>
      <c r="EX38" s="246"/>
      <c r="EY38" s="246"/>
      <c r="EZ38" s="246"/>
      <c r="FA38" s="246"/>
      <c r="FB38" s="246"/>
      <c r="FC38" s="246"/>
      <c r="FD38" s="246"/>
      <c r="FE38" s="246"/>
      <c r="FF38" s="246"/>
      <c r="FG38" s="246"/>
      <c r="FH38" s="246"/>
      <c r="FI38" s="246"/>
      <c r="FJ38" s="246"/>
      <c r="FK38" s="246"/>
      <c r="FL38" s="246"/>
      <c r="FM38" s="246"/>
      <c r="FN38" s="246"/>
      <c r="FO38" s="246"/>
      <c r="FP38" s="246"/>
      <c r="FQ38" s="246"/>
      <c r="FR38" s="246"/>
      <c r="FS38" s="246"/>
      <c r="FT38" s="246"/>
      <c r="FU38" s="246"/>
      <c r="FV38" s="246"/>
      <c r="FW38" s="246"/>
      <c r="FX38" s="246"/>
      <c r="FY38" s="246"/>
      <c r="FZ38" s="246"/>
      <c r="GA38" s="246"/>
      <c r="GB38" s="246"/>
      <c r="GC38" s="246"/>
      <c r="GD38" s="246"/>
    </row>
    <row r="39" spans="1:186">
      <c r="A39" s="246"/>
      <c r="B39" s="246"/>
      <c r="C39" s="246"/>
      <c r="D39" s="246"/>
      <c r="E39" s="246"/>
      <c r="F39" s="246"/>
      <c r="G39" s="246"/>
      <c r="H39" s="246"/>
      <c r="I39" s="246"/>
      <c r="J39" s="246"/>
      <c r="K39" s="246"/>
      <c r="L39" s="246"/>
      <c r="M39" s="246"/>
      <c r="N39" s="246"/>
      <c r="O39" s="246"/>
      <c r="P39" s="246"/>
      <c r="Q39" s="246"/>
      <c r="R39" s="246"/>
      <c r="S39" s="246"/>
      <c r="T39" s="246"/>
      <c r="U39" s="246"/>
      <c r="V39" s="246"/>
      <c r="W39" s="246"/>
      <c r="X39" s="246"/>
      <c r="Y39" s="246"/>
      <c r="Z39" s="246"/>
      <c r="AA39" s="246"/>
      <c r="AB39" s="246"/>
      <c r="AC39" s="246"/>
      <c r="AD39" s="246"/>
      <c r="AE39" s="246"/>
      <c r="AF39" s="246"/>
      <c r="AG39" s="246"/>
      <c r="AH39" s="246"/>
      <c r="AI39" s="246"/>
      <c r="AJ39" s="246"/>
      <c r="AK39" s="246"/>
      <c r="AL39" s="246"/>
      <c r="AM39" s="246"/>
      <c r="AN39" s="246"/>
      <c r="AO39" s="246"/>
      <c r="AP39" s="246"/>
      <c r="AQ39" s="246"/>
      <c r="AR39" s="246"/>
      <c r="AS39" s="246"/>
      <c r="AT39" s="246"/>
      <c r="AU39" s="246"/>
      <c r="AV39" s="246"/>
      <c r="AW39" s="246"/>
      <c r="AX39" s="246"/>
      <c r="AY39" s="246"/>
      <c r="AZ39" s="246"/>
      <c r="BA39" s="246"/>
      <c r="BB39" s="246"/>
      <c r="BC39" s="246"/>
      <c r="BD39" s="246"/>
      <c r="BE39" s="246"/>
      <c r="BF39" s="246"/>
      <c r="BG39" s="246"/>
      <c r="BH39" s="246"/>
      <c r="BI39" s="246"/>
      <c r="BJ39" s="246"/>
      <c r="BK39" s="246"/>
      <c r="BL39" s="246"/>
      <c r="BM39" s="246"/>
      <c r="BN39" s="246"/>
      <c r="BO39" s="246"/>
      <c r="BP39" s="246"/>
      <c r="BQ39" s="246"/>
      <c r="BR39" s="246"/>
      <c r="BS39" s="246"/>
      <c r="BT39" s="246"/>
      <c r="BU39" s="246"/>
      <c r="BV39" s="246"/>
      <c r="BW39" s="246"/>
      <c r="BX39" s="246"/>
      <c r="BY39" s="246"/>
      <c r="BZ39" s="246"/>
      <c r="CA39" s="246"/>
      <c r="CB39" s="246"/>
      <c r="CC39" s="246"/>
      <c r="CD39" s="246"/>
      <c r="CE39" s="246"/>
      <c r="CF39" s="246"/>
      <c r="CG39" s="246"/>
      <c r="CH39" s="246"/>
      <c r="CI39" s="246"/>
      <c r="CJ39" s="246"/>
      <c r="CK39" s="246"/>
      <c r="CL39" s="246"/>
      <c r="CM39" s="246"/>
      <c r="CN39" s="246"/>
      <c r="CO39" s="246"/>
      <c r="CP39" s="246"/>
      <c r="CQ39" s="246"/>
      <c r="CR39" s="246"/>
      <c r="CS39" s="246"/>
      <c r="CT39" s="246"/>
      <c r="CU39" s="246"/>
      <c r="CV39" s="246"/>
      <c r="CW39" s="246"/>
      <c r="CX39" s="246"/>
      <c r="CY39" s="246"/>
      <c r="CZ39" s="246"/>
      <c r="DA39" s="246"/>
      <c r="DB39" s="246"/>
      <c r="DC39" s="246"/>
      <c r="DD39" s="246"/>
      <c r="DE39" s="246"/>
      <c r="DF39" s="246"/>
      <c r="DG39" s="246"/>
      <c r="DH39" s="246"/>
      <c r="DI39" s="246"/>
      <c r="DJ39" s="246"/>
      <c r="DK39" s="246"/>
      <c r="DL39" s="246"/>
      <c r="DM39" s="246"/>
      <c r="DN39" s="246"/>
      <c r="DO39" s="246"/>
      <c r="DP39" s="246"/>
      <c r="DQ39" s="246"/>
      <c r="DR39" s="246"/>
      <c r="DS39" s="246"/>
      <c r="DT39" s="246"/>
      <c r="DU39" s="246"/>
      <c r="DV39" s="246"/>
      <c r="DW39" s="246"/>
      <c r="DX39" s="246"/>
      <c r="DY39" s="246"/>
      <c r="DZ39" s="246"/>
      <c r="EA39" s="246"/>
      <c r="EB39" s="246"/>
      <c r="EC39" s="246"/>
      <c r="ED39" s="246"/>
      <c r="EE39" s="246"/>
      <c r="EF39" s="246"/>
      <c r="EG39" s="246"/>
      <c r="EH39" s="246"/>
      <c r="EI39" s="246"/>
      <c r="EJ39" s="246"/>
      <c r="EK39" s="246"/>
      <c r="EL39" s="246"/>
      <c r="EM39" s="246"/>
      <c r="EN39" s="246"/>
      <c r="EO39" s="246"/>
      <c r="EP39" s="246"/>
      <c r="EQ39" s="246"/>
      <c r="ER39" s="246"/>
      <c r="ES39" s="246"/>
      <c r="ET39" s="246"/>
      <c r="EU39" s="246"/>
      <c r="EV39" s="246"/>
      <c r="EW39" s="246"/>
      <c r="EX39" s="246"/>
      <c r="EY39" s="246"/>
      <c r="EZ39" s="246"/>
      <c r="FA39" s="246"/>
      <c r="FB39" s="246"/>
      <c r="FC39" s="246"/>
      <c r="FD39" s="246"/>
      <c r="FE39" s="246"/>
      <c r="FF39" s="246"/>
      <c r="FG39" s="246"/>
      <c r="FH39" s="246"/>
      <c r="FI39" s="246"/>
      <c r="FJ39" s="246"/>
      <c r="FK39" s="246"/>
      <c r="FL39" s="246"/>
      <c r="FM39" s="246"/>
      <c r="FN39" s="246"/>
      <c r="FO39" s="246"/>
      <c r="FP39" s="246"/>
      <c r="FQ39" s="246"/>
      <c r="FR39" s="246"/>
      <c r="FS39" s="246"/>
      <c r="FT39" s="246"/>
      <c r="FU39" s="246"/>
      <c r="FV39" s="246"/>
      <c r="FW39" s="246"/>
      <c r="FX39" s="246"/>
      <c r="FY39" s="246"/>
      <c r="FZ39" s="246"/>
      <c r="GA39" s="246"/>
      <c r="GB39" s="246"/>
      <c r="GC39" s="246"/>
      <c r="GD39" s="246"/>
    </row>
    <row r="40" spans="1:186">
      <c r="A40" s="246"/>
      <c r="B40" s="246"/>
      <c r="C40" s="246"/>
      <c r="D40" s="246"/>
      <c r="E40" s="246"/>
      <c r="F40" s="246"/>
      <c r="G40" s="246"/>
      <c r="H40" s="246"/>
      <c r="I40" s="246"/>
      <c r="J40" s="246"/>
      <c r="K40" s="246"/>
      <c r="L40" s="246"/>
      <c r="M40" s="246"/>
      <c r="N40" s="246"/>
      <c r="O40" s="246"/>
      <c r="P40" s="246"/>
      <c r="Q40" s="246"/>
      <c r="R40" s="246"/>
      <c r="S40" s="246"/>
      <c r="T40" s="246"/>
      <c r="U40" s="246"/>
      <c r="V40" s="246"/>
      <c r="W40" s="246"/>
      <c r="X40" s="246"/>
      <c r="Y40" s="246"/>
      <c r="Z40" s="246"/>
      <c r="AA40" s="246"/>
      <c r="AB40" s="246"/>
      <c r="AC40" s="246"/>
      <c r="AD40" s="246"/>
      <c r="AE40" s="246"/>
      <c r="AF40" s="246"/>
      <c r="AG40" s="246"/>
      <c r="AH40" s="246"/>
      <c r="AI40" s="246"/>
      <c r="AJ40" s="246"/>
      <c r="AK40" s="246"/>
      <c r="AL40" s="246"/>
      <c r="AM40" s="246"/>
      <c r="AN40" s="246"/>
      <c r="AO40" s="246"/>
      <c r="AP40" s="246"/>
      <c r="AQ40" s="246"/>
      <c r="AR40" s="246"/>
      <c r="AS40" s="246"/>
      <c r="AT40" s="246"/>
      <c r="AU40" s="246"/>
      <c r="AV40" s="246"/>
      <c r="AW40" s="246"/>
      <c r="AX40" s="246"/>
      <c r="AY40" s="246"/>
      <c r="AZ40" s="246"/>
      <c r="BA40" s="246"/>
      <c r="BB40" s="246"/>
      <c r="BC40" s="246"/>
      <c r="BD40" s="246"/>
      <c r="BE40" s="246"/>
      <c r="BF40" s="246"/>
      <c r="BG40" s="246"/>
      <c r="BH40" s="246"/>
      <c r="BI40" s="246"/>
      <c r="BJ40" s="246"/>
      <c r="BK40" s="246"/>
      <c r="BL40" s="246"/>
      <c r="BM40" s="246"/>
      <c r="BN40" s="246"/>
      <c r="BO40" s="246"/>
      <c r="BP40" s="246"/>
      <c r="BQ40" s="246"/>
      <c r="BR40" s="246"/>
      <c r="BS40" s="246"/>
      <c r="BT40" s="246"/>
      <c r="BU40" s="246"/>
      <c r="BV40" s="246"/>
      <c r="BW40" s="246"/>
      <c r="BX40" s="246"/>
      <c r="BY40" s="246"/>
      <c r="BZ40" s="246"/>
      <c r="CA40" s="246"/>
      <c r="CB40" s="246"/>
      <c r="CC40" s="246"/>
      <c r="CD40" s="246"/>
      <c r="CE40" s="246"/>
      <c r="CF40" s="246"/>
      <c r="CG40" s="246"/>
      <c r="CH40" s="246"/>
      <c r="CI40" s="246"/>
      <c r="CJ40" s="246"/>
      <c r="CK40" s="246"/>
      <c r="CL40" s="246"/>
      <c r="CM40" s="246"/>
      <c r="CN40" s="246"/>
      <c r="CO40" s="246"/>
      <c r="CP40" s="246"/>
      <c r="CQ40" s="246"/>
      <c r="CR40" s="246"/>
      <c r="CS40" s="246"/>
      <c r="CT40" s="246"/>
      <c r="CU40" s="246"/>
      <c r="CV40" s="246"/>
      <c r="CW40" s="246"/>
      <c r="CX40" s="246"/>
      <c r="CY40" s="246"/>
      <c r="CZ40" s="246"/>
      <c r="DA40" s="246"/>
      <c r="DB40" s="246"/>
      <c r="DC40" s="246"/>
      <c r="DD40" s="246"/>
      <c r="DE40" s="246"/>
      <c r="DF40" s="246"/>
      <c r="DG40" s="246"/>
      <c r="DH40" s="246"/>
      <c r="DI40" s="246"/>
      <c r="DJ40" s="246"/>
      <c r="DK40" s="246"/>
      <c r="DL40" s="246"/>
      <c r="DM40" s="246"/>
      <c r="DN40" s="246"/>
      <c r="DO40" s="246"/>
      <c r="DP40" s="246"/>
      <c r="DQ40" s="246"/>
      <c r="DR40" s="246"/>
      <c r="DS40" s="246"/>
      <c r="DT40" s="246"/>
      <c r="DU40" s="246"/>
      <c r="DV40" s="246"/>
      <c r="DW40" s="246"/>
      <c r="DX40" s="246"/>
      <c r="DY40" s="246"/>
      <c r="DZ40" s="246"/>
      <c r="EA40" s="246"/>
      <c r="EB40" s="246"/>
      <c r="EC40" s="246"/>
      <c r="ED40" s="246"/>
      <c r="EE40" s="246"/>
      <c r="EF40" s="246"/>
      <c r="EG40" s="246"/>
      <c r="EH40" s="246"/>
      <c r="EI40" s="246"/>
      <c r="EJ40" s="246"/>
      <c r="EK40" s="246"/>
      <c r="EL40" s="246"/>
      <c r="EM40" s="246"/>
      <c r="EN40" s="246"/>
      <c r="EO40" s="246"/>
      <c r="EP40" s="246"/>
      <c r="EQ40" s="246"/>
      <c r="ER40" s="246"/>
      <c r="ES40" s="246"/>
      <c r="ET40" s="246"/>
      <c r="EU40" s="246"/>
      <c r="EV40" s="246"/>
      <c r="EW40" s="246"/>
      <c r="EX40" s="246"/>
      <c r="EY40" s="246"/>
      <c r="EZ40" s="246"/>
      <c r="FA40" s="246"/>
      <c r="FB40" s="246"/>
      <c r="FC40" s="246"/>
      <c r="FD40" s="246"/>
      <c r="FE40" s="246"/>
      <c r="FF40" s="246"/>
      <c r="FG40" s="246"/>
      <c r="FH40" s="246"/>
      <c r="FI40" s="246"/>
      <c r="FJ40" s="246"/>
      <c r="FK40" s="246"/>
      <c r="FL40" s="246"/>
      <c r="FM40" s="246"/>
      <c r="FN40" s="246"/>
      <c r="FO40" s="246"/>
      <c r="FP40" s="246"/>
      <c r="FQ40" s="246"/>
      <c r="FR40" s="246"/>
      <c r="FS40" s="246"/>
      <c r="FT40" s="246"/>
      <c r="FU40" s="246"/>
      <c r="FV40" s="246"/>
      <c r="FW40" s="246"/>
      <c r="FX40" s="246"/>
      <c r="FY40" s="246"/>
      <c r="FZ40" s="246"/>
      <c r="GA40" s="246"/>
      <c r="GB40" s="246"/>
      <c r="GC40" s="246"/>
      <c r="GD40" s="246"/>
    </row>
    <row r="41" spans="1:186">
      <c r="A41" s="246"/>
      <c r="B41" s="246"/>
      <c r="C41" s="246"/>
      <c r="D41" s="246"/>
      <c r="E41" s="246"/>
      <c r="F41" s="246"/>
      <c r="G41" s="246"/>
      <c r="H41" s="246"/>
      <c r="I41" s="246"/>
      <c r="J41" s="246"/>
      <c r="K41" s="246"/>
      <c r="L41" s="246"/>
      <c r="M41" s="246"/>
      <c r="N41" s="246"/>
      <c r="O41" s="246"/>
      <c r="P41" s="246"/>
      <c r="Q41" s="246"/>
      <c r="R41" s="246"/>
      <c r="S41" s="246"/>
      <c r="T41" s="246"/>
      <c r="U41" s="246"/>
      <c r="V41" s="246"/>
      <c r="W41" s="246"/>
      <c r="X41" s="246"/>
      <c r="Y41" s="246"/>
      <c r="Z41" s="246"/>
      <c r="AA41" s="246"/>
      <c r="AB41" s="246"/>
      <c r="AC41" s="246"/>
      <c r="AD41" s="246"/>
      <c r="AE41" s="246"/>
      <c r="AF41" s="246"/>
      <c r="AG41" s="246"/>
      <c r="AH41" s="246"/>
      <c r="AI41" s="246"/>
      <c r="AJ41" s="246"/>
      <c r="AK41" s="246"/>
      <c r="AL41" s="246"/>
      <c r="AM41" s="246"/>
      <c r="AN41" s="246"/>
      <c r="AO41" s="246"/>
      <c r="AP41" s="246"/>
      <c r="AQ41" s="246"/>
      <c r="AR41" s="246"/>
      <c r="AS41" s="246"/>
      <c r="AT41" s="246"/>
      <c r="AU41" s="246"/>
      <c r="AV41" s="246"/>
      <c r="AW41" s="246"/>
      <c r="AX41" s="246"/>
      <c r="AY41" s="246"/>
      <c r="AZ41" s="246"/>
      <c r="BA41" s="246"/>
      <c r="BB41" s="246"/>
      <c r="BC41" s="246"/>
      <c r="BD41" s="246"/>
      <c r="BE41" s="246"/>
      <c r="BF41" s="246"/>
      <c r="BG41" s="246"/>
      <c r="BH41" s="246"/>
      <c r="BI41" s="246"/>
      <c r="BJ41" s="246"/>
      <c r="BK41" s="246"/>
      <c r="BL41" s="246"/>
      <c r="BM41" s="246"/>
      <c r="BN41" s="246"/>
      <c r="BO41" s="246"/>
      <c r="BP41" s="246"/>
      <c r="BQ41" s="246"/>
      <c r="BR41" s="246"/>
      <c r="BS41" s="246"/>
      <c r="BT41" s="246"/>
      <c r="BU41" s="246"/>
      <c r="BV41" s="246"/>
      <c r="BW41" s="246"/>
      <c r="BX41" s="246"/>
      <c r="BY41" s="246"/>
      <c r="BZ41" s="246"/>
      <c r="CA41" s="246"/>
      <c r="CB41" s="246"/>
      <c r="CC41" s="246"/>
      <c r="CD41" s="246"/>
      <c r="CE41" s="246"/>
      <c r="CF41" s="246"/>
      <c r="CG41" s="246"/>
      <c r="CH41" s="246"/>
      <c r="CI41" s="246"/>
      <c r="CJ41" s="246"/>
      <c r="CK41" s="246"/>
      <c r="CL41" s="246"/>
      <c r="CM41" s="246"/>
      <c r="CN41" s="246"/>
      <c r="CO41" s="246"/>
      <c r="CP41" s="246"/>
      <c r="CQ41" s="246"/>
      <c r="CR41" s="246"/>
      <c r="CS41" s="246"/>
      <c r="CT41" s="246"/>
      <c r="CU41" s="246"/>
      <c r="CV41" s="246"/>
      <c r="CW41" s="246"/>
      <c r="CX41" s="246"/>
      <c r="CY41" s="246"/>
      <c r="CZ41" s="246"/>
      <c r="DA41" s="246"/>
      <c r="DB41" s="246"/>
      <c r="DC41" s="246"/>
      <c r="DD41" s="246"/>
      <c r="DE41" s="246"/>
      <c r="DF41" s="246"/>
      <c r="DG41" s="246"/>
      <c r="DH41" s="246"/>
      <c r="DI41" s="246"/>
      <c r="DJ41" s="246"/>
      <c r="DK41" s="246"/>
      <c r="DL41" s="246"/>
      <c r="DM41" s="246"/>
      <c r="DN41" s="246"/>
      <c r="DO41" s="246"/>
      <c r="DP41" s="246"/>
      <c r="DQ41" s="246"/>
      <c r="DR41" s="246"/>
      <c r="DS41" s="246"/>
      <c r="DT41" s="246"/>
      <c r="DU41" s="246"/>
      <c r="DV41" s="246"/>
      <c r="DW41" s="246"/>
      <c r="DX41" s="246"/>
      <c r="DY41" s="246"/>
      <c r="DZ41" s="246"/>
      <c r="EA41" s="246"/>
      <c r="EB41" s="246"/>
      <c r="EC41" s="246"/>
      <c r="ED41" s="246"/>
      <c r="EE41" s="246"/>
      <c r="EF41" s="246"/>
      <c r="EG41" s="246"/>
      <c r="EH41" s="246"/>
      <c r="EI41" s="246"/>
      <c r="EJ41" s="246"/>
      <c r="EK41" s="246"/>
      <c r="EL41" s="246"/>
      <c r="EM41" s="246"/>
      <c r="EN41" s="246"/>
      <c r="EO41" s="246"/>
      <c r="EP41" s="246"/>
      <c r="EQ41" s="246"/>
      <c r="ER41" s="246"/>
      <c r="ES41" s="246"/>
      <c r="ET41" s="246"/>
      <c r="EU41" s="246"/>
      <c r="EV41" s="246"/>
      <c r="EW41" s="246"/>
      <c r="EX41" s="246"/>
      <c r="EY41" s="246"/>
      <c r="EZ41" s="246"/>
      <c r="FA41" s="246"/>
      <c r="FB41" s="246"/>
      <c r="FC41" s="246"/>
      <c r="FD41" s="246"/>
      <c r="FE41" s="246"/>
      <c r="FF41" s="246"/>
      <c r="FG41" s="246"/>
      <c r="FH41" s="246"/>
      <c r="FI41" s="246"/>
      <c r="FJ41" s="246"/>
      <c r="FK41" s="246"/>
      <c r="FL41" s="246"/>
      <c r="FM41" s="246"/>
      <c r="FN41" s="246"/>
      <c r="FO41" s="246"/>
      <c r="FP41" s="246"/>
      <c r="FQ41" s="246"/>
      <c r="FR41" s="246"/>
      <c r="FS41" s="246"/>
      <c r="FT41" s="246"/>
      <c r="FU41" s="246"/>
      <c r="FV41" s="246"/>
      <c r="FW41" s="246"/>
      <c r="FX41" s="246"/>
      <c r="FY41" s="246"/>
      <c r="FZ41" s="246"/>
      <c r="GA41" s="246"/>
      <c r="GB41" s="246"/>
      <c r="GC41" s="246"/>
      <c r="GD41" s="246"/>
    </row>
    <row r="42" spans="1:186">
      <c r="A42" s="246"/>
      <c r="B42" s="246"/>
      <c r="C42" s="246"/>
      <c r="D42" s="246"/>
      <c r="E42" s="246"/>
      <c r="F42" s="246"/>
      <c r="G42" s="246"/>
      <c r="H42" s="246"/>
      <c r="I42" s="246"/>
      <c r="J42" s="246"/>
      <c r="K42" s="246"/>
      <c r="L42" s="246"/>
      <c r="M42" s="246"/>
      <c r="N42" s="246"/>
      <c r="O42" s="246"/>
      <c r="P42" s="246"/>
      <c r="Q42" s="246"/>
      <c r="R42" s="246"/>
      <c r="S42" s="246"/>
      <c r="T42" s="246"/>
      <c r="U42" s="246"/>
      <c r="V42" s="246"/>
      <c r="W42" s="246"/>
      <c r="X42" s="246"/>
      <c r="Y42" s="246"/>
      <c r="Z42" s="246"/>
      <c r="AA42" s="246"/>
      <c r="AB42" s="246"/>
      <c r="AC42" s="246"/>
      <c r="AD42" s="246"/>
      <c r="AE42" s="246"/>
      <c r="AF42" s="246"/>
      <c r="AG42" s="246"/>
      <c r="AH42" s="246"/>
      <c r="AI42" s="246"/>
      <c r="AJ42" s="246"/>
      <c r="AK42" s="246"/>
      <c r="AL42" s="246"/>
      <c r="AM42" s="246"/>
      <c r="AN42" s="246"/>
      <c r="AO42" s="246"/>
      <c r="AP42" s="246"/>
      <c r="AQ42" s="246"/>
      <c r="AR42" s="246"/>
      <c r="AS42" s="246"/>
      <c r="AT42" s="246"/>
      <c r="AU42" s="246"/>
      <c r="AV42" s="246"/>
      <c r="AW42" s="246"/>
      <c r="AX42" s="246"/>
      <c r="AY42" s="246"/>
      <c r="AZ42" s="246"/>
      <c r="BA42" s="246"/>
      <c r="BB42" s="246"/>
      <c r="BC42" s="246"/>
      <c r="BD42" s="246"/>
      <c r="BE42" s="246"/>
      <c r="BF42" s="246"/>
      <c r="BG42" s="246"/>
      <c r="BH42" s="246"/>
      <c r="BI42" s="246"/>
      <c r="BJ42" s="246"/>
      <c r="BK42" s="246"/>
      <c r="BL42" s="246"/>
      <c r="BM42" s="246"/>
      <c r="BN42" s="246"/>
      <c r="BO42" s="246"/>
      <c r="BP42" s="246"/>
      <c r="BQ42" s="246"/>
      <c r="BR42" s="246"/>
      <c r="BS42" s="246"/>
      <c r="BT42" s="246"/>
      <c r="BU42" s="246"/>
      <c r="BV42" s="246"/>
      <c r="BW42" s="246"/>
      <c r="BX42" s="246"/>
      <c r="BY42" s="246"/>
      <c r="BZ42" s="246"/>
      <c r="CA42" s="246"/>
      <c r="CB42" s="246"/>
      <c r="CC42" s="246"/>
      <c r="CD42" s="246"/>
      <c r="CE42" s="246"/>
      <c r="CF42" s="246"/>
      <c r="CG42" s="246"/>
      <c r="CH42" s="246"/>
      <c r="CI42" s="246"/>
      <c r="CJ42" s="246"/>
      <c r="CK42" s="246"/>
      <c r="CL42" s="246"/>
      <c r="CM42" s="246"/>
      <c r="CN42" s="246"/>
      <c r="CO42" s="246"/>
      <c r="CP42" s="246"/>
      <c r="CQ42" s="246"/>
      <c r="CR42" s="246"/>
      <c r="CS42" s="246"/>
      <c r="CT42" s="246"/>
      <c r="CU42" s="246"/>
      <c r="CV42" s="246"/>
      <c r="CW42" s="246"/>
      <c r="CX42" s="246"/>
      <c r="CY42" s="246"/>
      <c r="CZ42" s="246"/>
      <c r="DA42" s="246"/>
      <c r="DB42" s="246"/>
      <c r="DC42" s="246"/>
      <c r="DD42" s="246"/>
      <c r="DE42" s="246"/>
      <c r="DF42" s="246"/>
      <c r="DG42" s="246"/>
      <c r="DH42" s="246"/>
      <c r="DI42" s="246"/>
      <c r="DJ42" s="246"/>
      <c r="DK42" s="246"/>
      <c r="DL42" s="246"/>
      <c r="DM42" s="246"/>
      <c r="DN42" s="246"/>
      <c r="DO42" s="246"/>
      <c r="DP42" s="246"/>
      <c r="DQ42" s="246"/>
      <c r="DR42" s="246"/>
      <c r="DS42" s="246"/>
      <c r="DT42" s="246"/>
      <c r="DU42" s="246"/>
      <c r="DV42" s="246"/>
      <c r="DW42" s="246"/>
      <c r="DX42" s="246"/>
      <c r="DY42" s="246"/>
      <c r="DZ42" s="246"/>
      <c r="EA42" s="246"/>
      <c r="EB42" s="246"/>
      <c r="EC42" s="246"/>
      <c r="ED42" s="246"/>
      <c r="EE42" s="246"/>
      <c r="EF42" s="246"/>
      <c r="EG42" s="246"/>
      <c r="EH42" s="246"/>
      <c r="EI42" s="246"/>
      <c r="EJ42" s="246"/>
      <c r="EK42" s="246"/>
      <c r="EL42" s="246"/>
      <c r="EM42" s="246"/>
      <c r="EN42" s="246"/>
      <c r="EO42" s="246"/>
      <c r="EP42" s="246"/>
      <c r="EQ42" s="246"/>
      <c r="ER42" s="246"/>
      <c r="ES42" s="246"/>
      <c r="ET42" s="246"/>
      <c r="EU42" s="246"/>
      <c r="EV42" s="246"/>
      <c r="EW42" s="246"/>
      <c r="EX42" s="246"/>
      <c r="EY42" s="246"/>
      <c r="EZ42" s="246"/>
      <c r="FA42" s="246"/>
      <c r="FB42" s="246"/>
      <c r="FC42" s="246"/>
      <c r="FD42" s="246"/>
      <c r="FE42" s="246"/>
      <c r="FF42" s="246"/>
      <c r="FG42" s="246"/>
      <c r="FH42" s="246"/>
      <c r="FI42" s="246"/>
      <c r="FJ42" s="246"/>
      <c r="FK42" s="246"/>
      <c r="FL42" s="246"/>
      <c r="FM42" s="246"/>
      <c r="FN42" s="246"/>
      <c r="FO42" s="246"/>
      <c r="FP42" s="246"/>
      <c r="FQ42" s="246"/>
      <c r="FR42" s="246"/>
      <c r="FS42" s="246"/>
      <c r="FT42" s="246"/>
      <c r="FU42" s="246"/>
      <c r="FV42" s="246"/>
      <c r="FW42" s="246"/>
      <c r="FX42" s="246"/>
      <c r="FY42" s="246"/>
      <c r="FZ42" s="246"/>
      <c r="GA42" s="246"/>
      <c r="GB42" s="246"/>
      <c r="GC42" s="246"/>
      <c r="GD42" s="246"/>
    </row>
    <row r="43" spans="1:186">
      <c r="A43" s="246"/>
      <c r="B43" s="246"/>
      <c r="C43" s="246"/>
      <c r="D43" s="246"/>
      <c r="E43" s="246"/>
      <c r="F43" s="246"/>
      <c r="G43" s="246"/>
      <c r="H43" s="246"/>
      <c r="I43" s="246"/>
      <c r="J43" s="246"/>
      <c r="K43" s="246"/>
      <c r="L43" s="246"/>
      <c r="M43" s="246"/>
      <c r="N43" s="246"/>
      <c r="O43" s="246"/>
      <c r="P43" s="246"/>
      <c r="Q43" s="246"/>
      <c r="R43" s="246"/>
      <c r="S43" s="246"/>
      <c r="T43" s="246"/>
      <c r="U43" s="246"/>
      <c r="V43" s="246"/>
      <c r="W43" s="246"/>
      <c r="X43" s="246"/>
      <c r="Y43" s="246"/>
      <c r="Z43" s="246"/>
      <c r="AA43" s="246"/>
      <c r="AB43" s="246"/>
      <c r="AC43" s="246"/>
      <c r="AD43" s="246"/>
      <c r="AE43" s="246"/>
      <c r="AF43" s="246"/>
      <c r="AG43" s="246"/>
      <c r="AH43" s="246"/>
      <c r="AI43" s="246"/>
      <c r="AJ43" s="246"/>
      <c r="AK43" s="246"/>
      <c r="AL43" s="246"/>
      <c r="AM43" s="246"/>
      <c r="AN43" s="246"/>
      <c r="AO43" s="246"/>
      <c r="AP43" s="246"/>
      <c r="AQ43" s="246"/>
      <c r="AR43" s="246"/>
      <c r="AS43" s="246"/>
      <c r="AT43" s="246"/>
      <c r="AU43" s="246"/>
      <c r="AV43" s="246"/>
      <c r="AW43" s="246"/>
      <c r="AX43" s="246"/>
      <c r="AY43" s="246"/>
      <c r="AZ43" s="246"/>
      <c r="BA43" s="246"/>
      <c r="BB43" s="246"/>
      <c r="BC43" s="246"/>
      <c r="BD43" s="246"/>
      <c r="BE43" s="246"/>
      <c r="BF43" s="246"/>
      <c r="BG43" s="246"/>
      <c r="BH43" s="246"/>
      <c r="BI43" s="246"/>
      <c r="BJ43" s="246"/>
      <c r="BK43" s="246"/>
      <c r="BL43" s="246"/>
      <c r="BM43" s="246"/>
      <c r="BN43" s="246"/>
      <c r="BO43" s="246"/>
      <c r="BP43" s="246"/>
      <c r="BQ43" s="246"/>
      <c r="BR43" s="246"/>
      <c r="BS43" s="246"/>
      <c r="BT43" s="246"/>
      <c r="BU43" s="246"/>
      <c r="BV43" s="246"/>
      <c r="BW43" s="246"/>
      <c r="BX43" s="246"/>
      <c r="BY43" s="246"/>
      <c r="BZ43" s="246"/>
      <c r="CA43" s="246"/>
      <c r="CB43" s="246"/>
      <c r="CC43" s="246"/>
      <c r="CD43" s="246"/>
      <c r="CE43" s="246"/>
      <c r="CF43" s="246"/>
      <c r="CG43" s="246"/>
      <c r="CH43" s="246"/>
      <c r="CI43" s="246"/>
      <c r="CJ43" s="246"/>
      <c r="CK43" s="246"/>
      <c r="CL43" s="246"/>
      <c r="CM43" s="246"/>
      <c r="CN43" s="246"/>
      <c r="CO43" s="246"/>
      <c r="CP43" s="246"/>
      <c r="CQ43" s="246"/>
      <c r="CR43" s="246"/>
      <c r="CS43" s="246"/>
      <c r="CT43" s="246"/>
      <c r="CU43" s="246"/>
      <c r="CV43" s="246"/>
      <c r="CW43" s="246"/>
      <c r="CX43" s="246"/>
      <c r="CY43" s="246"/>
      <c r="CZ43" s="246"/>
      <c r="DA43" s="246"/>
      <c r="DB43" s="246"/>
      <c r="DC43" s="246"/>
      <c r="DD43" s="246"/>
      <c r="DE43" s="246"/>
      <c r="DF43" s="246"/>
      <c r="DG43" s="246"/>
      <c r="DH43" s="246"/>
      <c r="DI43" s="246"/>
      <c r="DJ43" s="246"/>
      <c r="DK43" s="246"/>
      <c r="DL43" s="246"/>
      <c r="DM43" s="246"/>
      <c r="DN43" s="246"/>
      <c r="DO43" s="246"/>
      <c r="DP43" s="246"/>
      <c r="DQ43" s="246"/>
      <c r="DR43" s="246"/>
      <c r="DS43" s="246"/>
      <c r="DT43" s="246"/>
      <c r="DU43" s="246"/>
      <c r="DV43" s="246"/>
      <c r="DW43" s="246"/>
      <c r="DX43" s="246"/>
      <c r="DY43" s="246"/>
      <c r="DZ43" s="246"/>
      <c r="EA43" s="246"/>
      <c r="EB43" s="246"/>
      <c r="EC43" s="246"/>
      <c r="ED43" s="246"/>
      <c r="EE43" s="246"/>
      <c r="EF43" s="246"/>
      <c r="EG43" s="246"/>
      <c r="EH43" s="246"/>
      <c r="EI43" s="246"/>
      <c r="EJ43" s="246"/>
      <c r="EK43" s="246"/>
      <c r="EL43" s="246"/>
      <c r="EM43" s="246"/>
      <c r="EN43" s="246"/>
      <c r="EO43" s="246"/>
      <c r="EP43" s="246"/>
      <c r="EQ43" s="246"/>
      <c r="ER43" s="246"/>
      <c r="ES43" s="246"/>
      <c r="ET43" s="246"/>
      <c r="EU43" s="246"/>
      <c r="EV43" s="246"/>
      <c r="EW43" s="246"/>
      <c r="EX43" s="246"/>
      <c r="EY43" s="246"/>
      <c r="EZ43" s="246"/>
      <c r="FA43" s="246"/>
      <c r="FB43" s="246"/>
      <c r="FC43" s="246"/>
      <c r="FD43" s="246"/>
      <c r="FE43" s="246"/>
      <c r="FF43" s="246"/>
      <c r="FG43" s="246"/>
      <c r="FH43" s="246"/>
      <c r="FI43" s="246"/>
      <c r="FJ43" s="246"/>
      <c r="FK43" s="246"/>
      <c r="FL43" s="246"/>
      <c r="FM43" s="246"/>
      <c r="FN43" s="246"/>
      <c r="FO43" s="246"/>
      <c r="FP43" s="246"/>
      <c r="FQ43" s="246"/>
      <c r="FR43" s="246"/>
      <c r="FS43" s="246"/>
      <c r="FT43" s="246"/>
      <c r="FU43" s="246"/>
      <c r="FV43" s="246"/>
      <c r="FW43" s="246"/>
      <c r="FX43" s="246"/>
      <c r="FY43" s="246"/>
      <c r="FZ43" s="246"/>
      <c r="GA43" s="246"/>
      <c r="GB43" s="246"/>
      <c r="GC43" s="246"/>
      <c r="GD43" s="246"/>
    </row>
    <row r="44" spans="1:186">
      <c r="A44" s="246"/>
      <c r="B44" s="246"/>
      <c r="C44" s="246"/>
      <c r="D44" s="246"/>
      <c r="E44" s="246"/>
      <c r="F44" s="246"/>
      <c r="G44" s="246"/>
      <c r="H44" s="246"/>
      <c r="I44" s="246"/>
      <c r="J44" s="246"/>
      <c r="K44" s="246"/>
      <c r="L44" s="246"/>
      <c r="M44" s="246"/>
      <c r="N44" s="246"/>
      <c r="O44" s="246"/>
      <c r="P44" s="246"/>
      <c r="Q44" s="246"/>
      <c r="R44" s="246"/>
      <c r="S44" s="246"/>
      <c r="T44" s="246"/>
      <c r="U44" s="246"/>
      <c r="V44" s="246"/>
      <c r="W44" s="246"/>
      <c r="X44" s="246"/>
      <c r="Y44" s="246"/>
      <c r="Z44" s="246"/>
      <c r="AA44" s="246"/>
      <c r="AB44" s="246"/>
      <c r="AC44" s="246"/>
      <c r="AD44" s="246"/>
      <c r="AE44" s="246"/>
      <c r="AF44" s="246"/>
      <c r="AG44" s="246"/>
      <c r="AH44" s="246"/>
      <c r="AI44" s="246"/>
      <c r="AJ44" s="246"/>
      <c r="AK44" s="246"/>
      <c r="AL44" s="246"/>
      <c r="AM44" s="246"/>
      <c r="AN44" s="246"/>
      <c r="AO44" s="246"/>
      <c r="AP44" s="246"/>
      <c r="AQ44" s="246"/>
      <c r="AR44" s="246"/>
      <c r="AS44" s="246"/>
      <c r="AT44" s="246"/>
      <c r="AU44" s="246"/>
      <c r="AV44" s="246"/>
      <c r="AW44" s="246"/>
      <c r="AX44" s="246"/>
      <c r="AY44" s="246"/>
      <c r="AZ44" s="246"/>
      <c r="BA44" s="246"/>
      <c r="BB44" s="246"/>
      <c r="BC44" s="246"/>
      <c r="BD44" s="246"/>
      <c r="BE44" s="246"/>
      <c r="BF44" s="246"/>
      <c r="BG44" s="246"/>
      <c r="BH44" s="246"/>
      <c r="BI44" s="246"/>
      <c r="BJ44" s="246"/>
      <c r="BK44" s="246"/>
      <c r="BL44" s="246"/>
      <c r="BM44" s="246"/>
      <c r="BN44" s="246"/>
      <c r="BO44" s="246"/>
      <c r="BP44" s="246"/>
      <c r="BQ44" s="246"/>
      <c r="BR44" s="246"/>
      <c r="BS44" s="246"/>
      <c r="BT44" s="246"/>
      <c r="BU44" s="246"/>
      <c r="BV44" s="246"/>
      <c r="BW44" s="246"/>
      <c r="BX44" s="246"/>
      <c r="BY44" s="246"/>
      <c r="BZ44" s="246"/>
      <c r="CA44" s="246"/>
      <c r="CB44" s="246"/>
      <c r="CC44" s="246"/>
      <c r="CD44" s="246"/>
      <c r="CE44" s="246"/>
      <c r="CF44" s="246"/>
      <c r="CG44" s="246"/>
      <c r="CH44" s="246"/>
      <c r="CI44" s="246"/>
      <c r="CJ44" s="246"/>
      <c r="CK44" s="246"/>
      <c r="CL44" s="246"/>
      <c r="CM44" s="246"/>
      <c r="CN44" s="246"/>
      <c r="CO44" s="246"/>
      <c r="CP44" s="246"/>
      <c r="CQ44" s="246"/>
      <c r="CR44" s="246"/>
      <c r="CS44" s="246"/>
      <c r="CT44" s="246"/>
      <c r="CU44" s="246"/>
      <c r="CV44" s="246"/>
      <c r="CW44" s="246"/>
      <c r="CX44" s="246"/>
      <c r="CY44" s="246"/>
      <c r="CZ44" s="246"/>
      <c r="DA44" s="246"/>
      <c r="DB44" s="246"/>
      <c r="DC44" s="246"/>
      <c r="DD44" s="246"/>
      <c r="DE44" s="246"/>
      <c r="DF44" s="246"/>
      <c r="DG44" s="246"/>
      <c r="DH44" s="246"/>
      <c r="DI44" s="246"/>
      <c r="DJ44" s="246"/>
      <c r="DK44" s="246"/>
      <c r="DL44" s="246"/>
      <c r="DM44" s="246"/>
      <c r="DN44" s="246"/>
      <c r="DO44" s="246"/>
      <c r="DP44" s="246"/>
      <c r="DQ44" s="246"/>
      <c r="DR44" s="246"/>
      <c r="DS44" s="246"/>
      <c r="DT44" s="246"/>
      <c r="DU44" s="246"/>
      <c r="DV44" s="246"/>
      <c r="DW44" s="246"/>
      <c r="DX44" s="246"/>
      <c r="DY44" s="246"/>
      <c r="DZ44" s="246"/>
      <c r="EA44" s="246"/>
      <c r="EB44" s="246"/>
      <c r="EC44" s="246"/>
      <c r="ED44" s="246"/>
      <c r="EE44" s="246"/>
      <c r="EF44" s="246"/>
      <c r="EG44" s="246"/>
      <c r="EH44" s="246"/>
      <c r="EI44" s="246"/>
      <c r="EJ44" s="246"/>
      <c r="EK44" s="246"/>
      <c r="EL44" s="246"/>
      <c r="EM44" s="246"/>
      <c r="EN44" s="246"/>
      <c r="EO44" s="246"/>
      <c r="EP44" s="246"/>
      <c r="EQ44" s="246"/>
      <c r="ER44" s="246"/>
      <c r="ES44" s="246"/>
      <c r="ET44" s="246"/>
      <c r="EU44" s="246"/>
      <c r="EV44" s="246"/>
      <c r="EW44" s="246"/>
      <c r="EX44" s="246"/>
      <c r="EY44" s="246"/>
      <c r="EZ44" s="246"/>
      <c r="FA44" s="246"/>
      <c r="FB44" s="246"/>
      <c r="FC44" s="246"/>
      <c r="FD44" s="246"/>
      <c r="FE44" s="246"/>
      <c r="FF44" s="246"/>
      <c r="FG44" s="246"/>
      <c r="FH44" s="246"/>
      <c r="FI44" s="246"/>
      <c r="FJ44" s="246"/>
      <c r="FK44" s="246"/>
      <c r="FL44" s="246"/>
      <c r="FM44" s="246"/>
      <c r="FN44" s="246"/>
      <c r="FO44" s="246"/>
      <c r="FP44" s="246"/>
      <c r="FQ44" s="246"/>
      <c r="FR44" s="246"/>
      <c r="FS44" s="246"/>
      <c r="FT44" s="246"/>
      <c r="FU44" s="246"/>
      <c r="FV44" s="246"/>
      <c r="FW44" s="246"/>
      <c r="FX44" s="246"/>
      <c r="FY44" s="246"/>
      <c r="FZ44" s="246"/>
      <c r="GA44" s="246"/>
      <c r="GB44" s="246"/>
      <c r="GC44" s="246"/>
      <c r="GD44" s="246"/>
    </row>
    <row r="45" spans="1:186">
      <c r="A45" s="246"/>
      <c r="B45" s="246"/>
      <c r="C45" s="246"/>
      <c r="D45" s="246"/>
      <c r="E45" s="246"/>
      <c r="F45" s="246"/>
      <c r="G45" s="246"/>
      <c r="H45" s="246"/>
      <c r="I45" s="246"/>
      <c r="J45" s="246"/>
      <c r="K45" s="246"/>
      <c r="L45" s="246"/>
      <c r="M45" s="246"/>
      <c r="N45" s="246"/>
      <c r="O45" s="246"/>
      <c r="P45" s="246"/>
      <c r="Q45" s="246"/>
      <c r="R45" s="246"/>
      <c r="S45" s="246"/>
      <c r="T45" s="246"/>
      <c r="U45" s="246"/>
      <c r="V45" s="246"/>
      <c r="W45" s="246"/>
      <c r="X45" s="246"/>
      <c r="Y45" s="246"/>
      <c r="Z45" s="246"/>
      <c r="AA45" s="246"/>
      <c r="AB45" s="246"/>
      <c r="AC45" s="246"/>
      <c r="AD45" s="246"/>
      <c r="AE45" s="246"/>
      <c r="AF45" s="246"/>
      <c r="AG45" s="246"/>
      <c r="AH45" s="246"/>
      <c r="AI45" s="246"/>
      <c r="AJ45" s="246"/>
      <c r="AK45" s="246"/>
      <c r="AL45" s="246"/>
      <c r="AM45" s="246"/>
      <c r="AN45" s="246"/>
      <c r="AO45" s="246"/>
      <c r="AP45" s="246"/>
      <c r="AQ45" s="246"/>
      <c r="AR45" s="246"/>
      <c r="AS45" s="246"/>
      <c r="AT45" s="246"/>
      <c r="AU45" s="246"/>
      <c r="AV45" s="246"/>
      <c r="AW45" s="246"/>
      <c r="AX45" s="246"/>
      <c r="AY45" s="246"/>
      <c r="AZ45" s="246"/>
      <c r="BA45" s="246"/>
      <c r="BB45" s="246"/>
      <c r="BC45" s="246"/>
      <c r="BD45" s="246"/>
      <c r="BE45" s="246"/>
      <c r="BF45" s="246"/>
      <c r="BG45" s="246"/>
      <c r="BH45" s="246"/>
      <c r="BI45" s="246"/>
      <c r="BJ45" s="246"/>
      <c r="BK45" s="246"/>
      <c r="BL45" s="246"/>
      <c r="BM45" s="246"/>
      <c r="BN45" s="246"/>
      <c r="BO45" s="246"/>
      <c r="BP45" s="246"/>
      <c r="BQ45" s="246"/>
      <c r="BR45" s="246"/>
      <c r="BS45" s="246"/>
      <c r="BT45" s="246"/>
      <c r="BU45" s="246"/>
      <c r="BV45" s="246"/>
      <c r="BW45" s="246"/>
      <c r="BX45" s="246"/>
      <c r="BY45" s="246"/>
      <c r="BZ45" s="246"/>
      <c r="CA45" s="246"/>
      <c r="CB45" s="246"/>
      <c r="CC45" s="246"/>
      <c r="CD45" s="246"/>
      <c r="CE45" s="246"/>
      <c r="CF45" s="246"/>
      <c r="CG45" s="246"/>
      <c r="CH45" s="246"/>
      <c r="CI45" s="246"/>
      <c r="CJ45" s="246"/>
      <c r="CK45" s="246"/>
      <c r="CL45" s="246"/>
      <c r="CM45" s="246"/>
      <c r="CN45" s="246"/>
      <c r="CO45" s="246"/>
      <c r="CP45" s="246"/>
      <c r="CQ45" s="246"/>
      <c r="CR45" s="246"/>
      <c r="CS45" s="246"/>
      <c r="CT45" s="246"/>
      <c r="CU45" s="246"/>
      <c r="CV45" s="246"/>
      <c r="CW45" s="246"/>
      <c r="CX45" s="246"/>
      <c r="CY45" s="246"/>
      <c r="CZ45" s="246"/>
      <c r="DA45" s="246"/>
      <c r="DB45" s="246"/>
      <c r="DC45" s="246"/>
      <c r="DD45" s="246"/>
      <c r="DE45" s="246"/>
      <c r="DF45" s="246"/>
      <c r="DG45" s="246"/>
      <c r="DH45" s="246"/>
      <c r="DI45" s="246"/>
      <c r="DJ45" s="246"/>
      <c r="DK45" s="246"/>
      <c r="DL45" s="246"/>
      <c r="DM45" s="246"/>
      <c r="DN45" s="246"/>
      <c r="DO45" s="246"/>
      <c r="DP45" s="246"/>
      <c r="DQ45" s="246"/>
      <c r="DR45" s="246"/>
      <c r="DS45" s="246"/>
      <c r="DT45" s="246"/>
      <c r="DU45" s="246"/>
      <c r="DV45" s="246"/>
      <c r="DW45" s="246"/>
      <c r="DX45" s="246"/>
      <c r="DY45" s="246"/>
      <c r="DZ45" s="246"/>
      <c r="EA45" s="246"/>
      <c r="EB45" s="246"/>
      <c r="EC45" s="246"/>
      <c r="ED45" s="246"/>
      <c r="EE45" s="246"/>
      <c r="EF45" s="246"/>
      <c r="EG45" s="246"/>
      <c r="EH45" s="246"/>
      <c r="EI45" s="246"/>
      <c r="EJ45" s="246"/>
      <c r="EK45" s="246"/>
      <c r="EL45" s="246"/>
      <c r="EM45" s="246"/>
      <c r="EN45" s="246"/>
      <c r="EO45" s="246"/>
      <c r="EP45" s="246"/>
      <c r="EQ45" s="246"/>
      <c r="ER45" s="246"/>
      <c r="ES45" s="246"/>
      <c r="ET45" s="246"/>
      <c r="EU45" s="246"/>
      <c r="EV45" s="246"/>
      <c r="EW45" s="246"/>
      <c r="EX45" s="246"/>
      <c r="EY45" s="246"/>
      <c r="EZ45" s="246"/>
      <c r="FA45" s="246"/>
      <c r="FB45" s="246"/>
      <c r="FC45" s="246"/>
      <c r="FD45" s="246"/>
      <c r="FE45" s="246"/>
      <c r="FF45" s="246"/>
      <c r="FG45" s="246"/>
      <c r="FH45" s="246"/>
      <c r="FI45" s="246"/>
      <c r="FJ45" s="246"/>
      <c r="FK45" s="246"/>
      <c r="FL45" s="246"/>
      <c r="FM45" s="246"/>
      <c r="FN45" s="246"/>
      <c r="FO45" s="246"/>
      <c r="FP45" s="246"/>
      <c r="FQ45" s="246"/>
      <c r="FR45" s="246"/>
      <c r="FS45" s="246"/>
      <c r="FT45" s="246"/>
      <c r="FU45" s="246"/>
      <c r="FV45" s="246"/>
      <c r="FW45" s="246"/>
      <c r="FX45" s="246"/>
      <c r="FY45" s="246"/>
      <c r="FZ45" s="246"/>
      <c r="GA45" s="246"/>
      <c r="GB45" s="246"/>
      <c r="GC45" s="246"/>
      <c r="GD45" s="246"/>
    </row>
    <row r="46" spans="1:186">
      <c r="A46" s="246"/>
      <c r="B46" s="246"/>
      <c r="C46" s="246"/>
      <c r="D46" s="246"/>
      <c r="E46" s="246"/>
      <c r="F46" s="246"/>
      <c r="G46" s="246"/>
      <c r="H46" s="246"/>
      <c r="I46" s="246"/>
      <c r="J46" s="246"/>
      <c r="K46" s="246"/>
      <c r="L46" s="246"/>
      <c r="M46" s="246"/>
      <c r="N46" s="246"/>
      <c r="O46" s="246"/>
      <c r="P46" s="246"/>
      <c r="Q46" s="246"/>
      <c r="R46" s="246"/>
      <c r="S46" s="246"/>
      <c r="T46" s="246"/>
      <c r="U46" s="246"/>
      <c r="V46" s="246"/>
      <c r="W46" s="246"/>
      <c r="X46" s="246"/>
      <c r="Y46" s="246"/>
      <c r="Z46" s="246"/>
      <c r="AA46" s="246"/>
      <c r="AB46" s="246"/>
      <c r="AC46" s="246"/>
      <c r="AD46" s="246"/>
      <c r="AE46" s="246"/>
      <c r="AF46" s="246"/>
      <c r="AG46" s="246"/>
      <c r="AH46" s="246"/>
      <c r="AI46" s="246"/>
      <c r="AJ46" s="246"/>
      <c r="AK46" s="246"/>
      <c r="AL46" s="246"/>
      <c r="AM46" s="246"/>
      <c r="AN46" s="246"/>
      <c r="AO46" s="246"/>
      <c r="AP46" s="246"/>
      <c r="AQ46" s="246"/>
      <c r="AR46" s="246"/>
      <c r="AS46" s="246"/>
      <c r="AT46" s="246"/>
      <c r="AU46" s="246"/>
      <c r="AV46" s="246"/>
      <c r="AW46" s="246"/>
      <c r="AX46" s="246"/>
      <c r="AY46" s="246"/>
      <c r="AZ46" s="246"/>
      <c r="BA46" s="246"/>
      <c r="BB46" s="246"/>
      <c r="BC46" s="246"/>
      <c r="BD46" s="246"/>
      <c r="BE46" s="246"/>
      <c r="BF46" s="246"/>
      <c r="BG46" s="246"/>
      <c r="BH46" s="246"/>
      <c r="BI46" s="246"/>
      <c r="BJ46" s="246"/>
      <c r="BK46" s="246"/>
      <c r="BL46" s="246"/>
      <c r="BM46" s="246"/>
      <c r="BN46" s="246"/>
      <c r="BO46" s="246"/>
      <c r="BP46" s="246"/>
      <c r="BQ46" s="246"/>
      <c r="BR46" s="246"/>
      <c r="BS46" s="246"/>
      <c r="BT46" s="246"/>
      <c r="BU46" s="246"/>
      <c r="BV46" s="246"/>
      <c r="BW46" s="246"/>
      <c r="BX46" s="246"/>
      <c r="BY46" s="246"/>
      <c r="BZ46" s="246"/>
      <c r="CA46" s="246"/>
      <c r="CB46" s="246"/>
      <c r="CC46" s="246"/>
      <c r="CD46" s="246"/>
      <c r="CE46" s="246"/>
      <c r="CF46" s="246"/>
      <c r="CG46" s="246"/>
      <c r="CH46" s="246"/>
      <c r="CI46" s="246"/>
      <c r="CJ46" s="246"/>
      <c r="CK46" s="246"/>
      <c r="CL46" s="246"/>
      <c r="CM46" s="246"/>
      <c r="CN46" s="246"/>
      <c r="CO46" s="246"/>
      <c r="CP46" s="246"/>
      <c r="CQ46" s="246"/>
      <c r="CR46" s="246"/>
      <c r="CS46" s="246"/>
      <c r="CT46" s="246"/>
      <c r="CU46" s="246"/>
      <c r="CV46" s="246"/>
      <c r="CW46" s="246"/>
      <c r="CX46" s="246"/>
      <c r="CY46" s="246"/>
      <c r="CZ46" s="246"/>
      <c r="DA46" s="246"/>
      <c r="DB46" s="246"/>
      <c r="DC46" s="246"/>
      <c r="DD46" s="246"/>
      <c r="DE46" s="246"/>
      <c r="DF46" s="246"/>
      <c r="DG46" s="246"/>
      <c r="DH46" s="246"/>
      <c r="DI46" s="246"/>
      <c r="DJ46" s="246"/>
      <c r="DK46" s="246"/>
      <c r="DL46" s="246"/>
      <c r="DM46" s="246"/>
      <c r="DN46" s="246"/>
      <c r="DO46" s="246"/>
      <c r="DP46" s="246"/>
      <c r="DQ46" s="246"/>
      <c r="DR46" s="246"/>
      <c r="DS46" s="246"/>
      <c r="DT46" s="246"/>
      <c r="DU46" s="246"/>
      <c r="DV46" s="246"/>
      <c r="DW46" s="246"/>
      <c r="DX46" s="246"/>
      <c r="DY46" s="246"/>
      <c r="DZ46" s="246"/>
      <c r="EA46" s="246"/>
      <c r="EB46" s="246"/>
      <c r="EC46" s="246"/>
      <c r="ED46" s="246"/>
      <c r="EE46" s="246"/>
      <c r="EF46" s="246"/>
      <c r="EG46" s="246"/>
      <c r="EH46" s="246"/>
      <c r="EI46" s="246"/>
      <c r="EJ46" s="246"/>
      <c r="EK46" s="246"/>
      <c r="EL46" s="246"/>
      <c r="EM46" s="246"/>
      <c r="EN46" s="246"/>
      <c r="EO46" s="246"/>
      <c r="EP46" s="246"/>
      <c r="EQ46" s="246"/>
      <c r="ER46" s="246"/>
      <c r="ES46" s="246"/>
      <c r="ET46" s="246"/>
      <c r="EU46" s="246"/>
      <c r="EV46" s="246"/>
      <c r="EW46" s="246"/>
      <c r="EX46" s="246"/>
      <c r="EY46" s="246"/>
      <c r="EZ46" s="246"/>
      <c r="FA46" s="246"/>
      <c r="FB46" s="246"/>
      <c r="FC46" s="246"/>
      <c r="FD46" s="246"/>
      <c r="FE46" s="246"/>
      <c r="FF46" s="246"/>
      <c r="FG46" s="246"/>
      <c r="FH46" s="246"/>
      <c r="FI46" s="246"/>
      <c r="FJ46" s="246"/>
      <c r="FK46" s="246"/>
      <c r="FL46" s="246"/>
      <c r="FM46" s="246"/>
      <c r="FN46" s="246"/>
      <c r="FO46" s="246"/>
      <c r="FP46" s="246"/>
      <c r="FQ46" s="246"/>
      <c r="FR46" s="246"/>
      <c r="FS46" s="246"/>
      <c r="FT46" s="246"/>
      <c r="FU46" s="246"/>
      <c r="FV46" s="246"/>
      <c r="FW46" s="246"/>
      <c r="FX46" s="246"/>
      <c r="FY46" s="246"/>
      <c r="FZ46" s="246"/>
      <c r="GA46" s="246"/>
      <c r="GB46" s="246"/>
      <c r="GC46" s="246"/>
      <c r="GD46" s="246"/>
    </row>
    <row r="47" spans="1:186">
      <c r="A47" s="246"/>
      <c r="B47" s="246"/>
      <c r="C47" s="246"/>
      <c r="D47" s="246"/>
      <c r="E47" s="246"/>
      <c r="F47" s="246"/>
      <c r="G47" s="246"/>
      <c r="H47" s="246"/>
      <c r="I47" s="246"/>
      <c r="J47" s="246"/>
      <c r="K47" s="246"/>
      <c r="L47" s="246"/>
      <c r="M47" s="246"/>
      <c r="N47" s="246"/>
      <c r="O47" s="246"/>
      <c r="P47" s="246"/>
      <c r="Q47" s="246"/>
      <c r="R47" s="246"/>
      <c r="S47" s="246"/>
      <c r="T47" s="246"/>
      <c r="U47" s="246"/>
      <c r="V47" s="246"/>
      <c r="W47" s="246"/>
      <c r="X47" s="246"/>
      <c r="Y47" s="246"/>
      <c r="Z47" s="246"/>
      <c r="AA47" s="246"/>
      <c r="AB47" s="246"/>
      <c r="AC47" s="246"/>
      <c r="AD47" s="246"/>
      <c r="AE47" s="246"/>
      <c r="AF47" s="246"/>
      <c r="AG47" s="246"/>
      <c r="AH47" s="246"/>
      <c r="AI47" s="246"/>
      <c r="AJ47" s="246"/>
      <c r="AK47" s="246"/>
      <c r="AL47" s="246"/>
      <c r="AM47" s="246"/>
      <c r="AN47" s="246"/>
      <c r="AO47" s="246"/>
      <c r="AP47" s="246"/>
      <c r="AQ47" s="246"/>
      <c r="AR47" s="246"/>
      <c r="AS47" s="246"/>
      <c r="AT47" s="246"/>
      <c r="AU47" s="246"/>
      <c r="AV47" s="246"/>
      <c r="AW47" s="246"/>
      <c r="AX47" s="246"/>
      <c r="AY47" s="246"/>
      <c r="AZ47" s="246"/>
      <c r="BA47" s="246"/>
      <c r="BB47" s="246"/>
      <c r="BC47" s="246"/>
      <c r="BD47" s="246"/>
      <c r="BE47" s="246"/>
      <c r="BF47" s="246"/>
      <c r="BG47" s="246"/>
      <c r="BH47" s="246"/>
      <c r="BI47" s="246"/>
      <c r="BJ47" s="246"/>
      <c r="BK47" s="246"/>
      <c r="BL47" s="246"/>
      <c r="BM47" s="246"/>
      <c r="BN47" s="246"/>
      <c r="BO47" s="246"/>
      <c r="BP47" s="246"/>
      <c r="BQ47" s="246"/>
      <c r="BR47" s="246"/>
      <c r="BS47" s="246"/>
      <c r="BT47" s="246"/>
      <c r="BU47" s="246"/>
      <c r="BV47" s="246"/>
      <c r="BW47" s="246"/>
      <c r="BX47" s="246"/>
      <c r="BY47" s="246"/>
      <c r="BZ47" s="246"/>
      <c r="CA47" s="246"/>
      <c r="CB47" s="246"/>
      <c r="CC47" s="246"/>
      <c r="CD47" s="246"/>
      <c r="CE47" s="246"/>
      <c r="CF47" s="246"/>
      <c r="CG47" s="246"/>
      <c r="CH47" s="246"/>
      <c r="CI47" s="246"/>
      <c r="CJ47" s="246"/>
      <c r="CK47" s="246"/>
      <c r="CL47" s="246"/>
      <c r="CM47" s="246"/>
      <c r="CN47" s="246"/>
      <c r="CO47" s="246"/>
      <c r="CP47" s="246"/>
      <c r="CQ47" s="246"/>
      <c r="CR47" s="246"/>
      <c r="CS47" s="246"/>
      <c r="CT47" s="246"/>
      <c r="CU47" s="246"/>
      <c r="CV47" s="246"/>
      <c r="CW47" s="246"/>
      <c r="CX47" s="246"/>
      <c r="CY47" s="246"/>
      <c r="CZ47" s="246"/>
      <c r="DA47" s="246"/>
      <c r="DB47" s="246"/>
      <c r="DC47" s="246"/>
      <c r="DD47" s="246"/>
      <c r="DE47" s="246"/>
      <c r="DF47" s="246"/>
      <c r="DG47" s="246"/>
      <c r="DH47" s="246"/>
      <c r="DI47" s="246"/>
      <c r="DJ47" s="246"/>
      <c r="DK47" s="246"/>
      <c r="DL47" s="246"/>
      <c r="DM47" s="246"/>
      <c r="DN47" s="246"/>
      <c r="DO47" s="246"/>
      <c r="DP47" s="246"/>
      <c r="DQ47" s="246"/>
      <c r="DR47" s="246"/>
      <c r="DS47" s="246"/>
      <c r="DT47" s="246"/>
      <c r="DU47" s="246"/>
      <c r="DV47" s="246"/>
      <c r="DW47" s="246"/>
      <c r="DX47" s="246"/>
      <c r="DY47" s="246"/>
      <c r="DZ47" s="246"/>
      <c r="EA47" s="246"/>
      <c r="EB47" s="246"/>
      <c r="EC47" s="246"/>
      <c r="ED47" s="246"/>
      <c r="EE47" s="246"/>
      <c r="EF47" s="246"/>
      <c r="EG47" s="246"/>
      <c r="EH47" s="246"/>
      <c r="EI47" s="246"/>
      <c r="EJ47" s="246"/>
      <c r="EK47" s="246"/>
      <c r="EL47" s="246"/>
      <c r="EM47" s="246"/>
      <c r="EN47" s="246"/>
      <c r="EO47" s="246"/>
      <c r="EP47" s="246"/>
      <c r="EQ47" s="246"/>
      <c r="ER47" s="246"/>
      <c r="ES47" s="246"/>
      <c r="ET47" s="246"/>
      <c r="EU47" s="246"/>
      <c r="EV47" s="246"/>
      <c r="EW47" s="246"/>
      <c r="EX47" s="246"/>
      <c r="EY47" s="246"/>
      <c r="EZ47" s="246"/>
      <c r="FA47" s="246"/>
      <c r="FB47" s="246"/>
      <c r="FC47" s="246"/>
      <c r="FD47" s="246"/>
      <c r="FE47" s="246"/>
      <c r="FF47" s="246"/>
      <c r="FG47" s="246"/>
      <c r="FH47" s="246"/>
      <c r="FI47" s="246"/>
      <c r="FJ47" s="246"/>
      <c r="FK47" s="246"/>
      <c r="FL47" s="246"/>
      <c r="FM47" s="246"/>
      <c r="FN47" s="246"/>
      <c r="FO47" s="246"/>
      <c r="FP47" s="246"/>
      <c r="FQ47" s="246"/>
      <c r="FR47" s="246"/>
      <c r="FS47" s="246"/>
      <c r="FT47" s="246"/>
      <c r="FU47" s="246"/>
      <c r="FV47" s="246"/>
      <c r="FW47" s="246"/>
      <c r="FX47" s="246"/>
      <c r="FY47" s="246"/>
      <c r="FZ47" s="246"/>
      <c r="GA47" s="246"/>
      <c r="GB47" s="246"/>
      <c r="GC47" s="246"/>
      <c r="GD47" s="246"/>
    </row>
    <row r="48" spans="1:186">
      <c r="A48" s="246"/>
      <c r="B48" s="246"/>
      <c r="C48" s="246"/>
      <c r="D48" s="246"/>
      <c r="E48" s="246"/>
      <c r="F48" s="246"/>
      <c r="G48" s="246"/>
      <c r="H48" s="246"/>
      <c r="I48" s="246"/>
      <c r="J48" s="246"/>
      <c r="K48" s="246"/>
      <c r="L48" s="246"/>
      <c r="M48" s="246"/>
      <c r="N48" s="246"/>
      <c r="O48" s="246"/>
      <c r="P48" s="246"/>
      <c r="Q48" s="246"/>
      <c r="R48" s="246"/>
      <c r="S48" s="246"/>
      <c r="T48" s="246"/>
      <c r="U48" s="246"/>
      <c r="V48" s="246"/>
      <c r="W48" s="246"/>
      <c r="X48" s="246"/>
      <c r="Y48" s="246"/>
      <c r="Z48" s="246"/>
      <c r="AA48" s="246"/>
      <c r="AB48" s="246"/>
      <c r="AC48" s="246"/>
      <c r="AD48" s="246"/>
      <c r="AE48" s="246"/>
      <c r="AF48" s="246"/>
      <c r="AG48" s="246"/>
      <c r="AH48" s="246"/>
      <c r="AI48" s="246"/>
      <c r="AJ48" s="246"/>
      <c r="AK48" s="246"/>
      <c r="AL48" s="246"/>
      <c r="AM48" s="246"/>
      <c r="AN48" s="246"/>
      <c r="AO48" s="246"/>
      <c r="AP48" s="246"/>
      <c r="AQ48" s="246"/>
      <c r="AR48" s="246"/>
      <c r="AS48" s="246"/>
      <c r="AT48" s="246"/>
      <c r="AU48" s="246"/>
      <c r="AV48" s="246"/>
      <c r="AW48" s="246"/>
      <c r="AX48" s="246"/>
      <c r="AY48" s="246"/>
      <c r="AZ48" s="246"/>
      <c r="BA48" s="246"/>
      <c r="BB48" s="246"/>
      <c r="BC48" s="246"/>
      <c r="BD48" s="246"/>
      <c r="BE48" s="246"/>
      <c r="BF48" s="246"/>
      <c r="BG48" s="246"/>
      <c r="BH48" s="246"/>
      <c r="BI48" s="246"/>
      <c r="BJ48" s="246"/>
      <c r="BK48" s="246"/>
      <c r="BL48" s="246"/>
      <c r="BM48" s="246"/>
      <c r="BN48" s="246"/>
      <c r="BO48" s="246"/>
      <c r="BP48" s="246"/>
      <c r="BQ48" s="246"/>
      <c r="BR48" s="246"/>
      <c r="BS48" s="246"/>
      <c r="BT48" s="246"/>
      <c r="BU48" s="246"/>
      <c r="BV48" s="246"/>
      <c r="BW48" s="246"/>
      <c r="BX48" s="246"/>
      <c r="BY48" s="246"/>
      <c r="BZ48" s="246"/>
      <c r="CA48" s="246"/>
      <c r="CB48" s="246"/>
      <c r="CC48" s="246"/>
      <c r="CD48" s="246"/>
      <c r="CE48" s="246"/>
      <c r="CF48" s="246"/>
      <c r="CG48" s="246"/>
      <c r="CH48" s="246"/>
      <c r="CI48" s="246"/>
      <c r="CJ48" s="246"/>
      <c r="CK48" s="246"/>
      <c r="CL48" s="246"/>
      <c r="CM48" s="246"/>
      <c r="CN48" s="246"/>
      <c r="CO48" s="246"/>
      <c r="CP48" s="246"/>
      <c r="CQ48" s="246"/>
      <c r="CR48" s="246"/>
      <c r="CS48" s="246"/>
      <c r="CT48" s="246"/>
      <c r="CU48" s="246"/>
      <c r="CV48" s="246"/>
      <c r="CW48" s="246"/>
      <c r="CX48" s="246"/>
      <c r="CY48" s="246"/>
      <c r="CZ48" s="246"/>
      <c r="DA48" s="246"/>
      <c r="DB48" s="246"/>
      <c r="DC48" s="246"/>
      <c r="DD48" s="246"/>
      <c r="DE48" s="246"/>
      <c r="DF48" s="246"/>
      <c r="DG48" s="246"/>
      <c r="DH48" s="246"/>
      <c r="DI48" s="246"/>
      <c r="DJ48" s="246"/>
      <c r="DK48" s="246"/>
      <c r="DL48" s="246"/>
      <c r="DM48" s="246"/>
      <c r="DN48" s="246"/>
      <c r="DO48" s="246"/>
      <c r="DP48" s="246"/>
      <c r="DQ48" s="246"/>
      <c r="DR48" s="246"/>
      <c r="DS48" s="246"/>
      <c r="DT48" s="246"/>
      <c r="DU48" s="246"/>
      <c r="DV48" s="246"/>
      <c r="DW48" s="246"/>
      <c r="DX48" s="246"/>
      <c r="DY48" s="246"/>
      <c r="DZ48" s="246"/>
      <c r="EA48" s="246"/>
      <c r="EB48" s="246"/>
      <c r="EC48" s="246"/>
      <c r="ED48" s="246"/>
      <c r="EE48" s="246"/>
      <c r="EF48" s="246"/>
      <c r="EG48" s="246"/>
      <c r="EH48" s="246"/>
      <c r="EI48" s="246"/>
      <c r="EJ48" s="246"/>
      <c r="EK48" s="246"/>
      <c r="EL48" s="246"/>
      <c r="EM48" s="246"/>
      <c r="EN48" s="246"/>
      <c r="EO48" s="246"/>
      <c r="EP48" s="246"/>
      <c r="EQ48" s="246"/>
      <c r="ER48" s="246"/>
      <c r="ES48" s="246"/>
      <c r="ET48" s="246"/>
      <c r="EU48" s="246"/>
      <c r="EV48" s="246"/>
      <c r="EW48" s="246"/>
      <c r="EX48" s="246"/>
      <c r="EY48" s="246"/>
      <c r="EZ48" s="246"/>
      <c r="FA48" s="246"/>
      <c r="FB48" s="246"/>
      <c r="FC48" s="246"/>
      <c r="FD48" s="246"/>
      <c r="FE48" s="246"/>
      <c r="FF48" s="246"/>
      <c r="FG48" s="246"/>
      <c r="FH48" s="246"/>
      <c r="FI48" s="246"/>
      <c r="FJ48" s="246"/>
      <c r="FK48" s="246"/>
      <c r="FL48" s="246"/>
      <c r="FM48" s="246"/>
      <c r="FN48" s="246"/>
      <c r="FO48" s="246"/>
      <c r="FP48" s="246"/>
      <c r="FQ48" s="246"/>
      <c r="FR48" s="246"/>
      <c r="FS48" s="246"/>
      <c r="FT48" s="246"/>
      <c r="FU48" s="246"/>
      <c r="FV48" s="246"/>
      <c r="FW48" s="246"/>
      <c r="FX48" s="246"/>
      <c r="FY48" s="246"/>
      <c r="FZ48" s="246"/>
      <c r="GA48" s="246"/>
      <c r="GB48" s="246"/>
      <c r="GC48" s="246"/>
      <c r="GD48" s="246"/>
    </row>
    <row r="49" spans="1:186">
      <c r="A49" s="246"/>
      <c r="B49" s="246"/>
      <c r="C49" s="246"/>
      <c r="D49" s="246"/>
      <c r="E49" s="246"/>
      <c r="F49" s="246"/>
      <c r="G49" s="246"/>
      <c r="H49" s="246"/>
      <c r="I49" s="246"/>
      <c r="J49" s="246"/>
      <c r="K49" s="246"/>
      <c r="L49" s="246"/>
      <c r="M49" s="246"/>
      <c r="N49" s="246"/>
      <c r="O49" s="246"/>
      <c r="P49" s="246"/>
      <c r="Q49" s="246"/>
      <c r="R49" s="246"/>
      <c r="S49" s="246"/>
      <c r="T49" s="246"/>
      <c r="U49" s="246"/>
      <c r="V49" s="246"/>
      <c r="W49" s="246"/>
      <c r="X49" s="246"/>
      <c r="Y49" s="246"/>
      <c r="Z49" s="246"/>
      <c r="AA49" s="246"/>
      <c r="AB49" s="246"/>
      <c r="AC49" s="246"/>
      <c r="AD49" s="246"/>
      <c r="AE49" s="246"/>
      <c r="AF49" s="246"/>
      <c r="AG49" s="246"/>
      <c r="AH49" s="246"/>
      <c r="AI49" s="246"/>
      <c r="AJ49" s="246"/>
      <c r="AK49" s="246"/>
      <c r="AL49" s="246"/>
      <c r="AM49" s="246"/>
      <c r="AN49" s="246"/>
      <c r="AO49" s="246"/>
      <c r="AP49" s="246"/>
      <c r="AQ49" s="246"/>
      <c r="AR49" s="246"/>
      <c r="AS49" s="246"/>
      <c r="AT49" s="246"/>
      <c r="AU49" s="246"/>
      <c r="AV49" s="246"/>
      <c r="AW49" s="246"/>
      <c r="AX49" s="246"/>
      <c r="AY49" s="246"/>
      <c r="AZ49" s="246"/>
      <c r="BA49" s="246"/>
      <c r="BB49" s="246"/>
      <c r="BC49" s="246"/>
      <c r="BD49" s="246"/>
      <c r="BE49" s="246"/>
      <c r="BF49" s="246"/>
      <c r="BG49" s="246"/>
      <c r="BH49" s="246"/>
      <c r="BI49" s="246"/>
      <c r="BJ49" s="246"/>
      <c r="BK49" s="246"/>
      <c r="BL49" s="246"/>
      <c r="BM49" s="246"/>
      <c r="BN49" s="246"/>
      <c r="BO49" s="246"/>
      <c r="BP49" s="246"/>
      <c r="BQ49" s="246"/>
      <c r="BR49" s="246"/>
      <c r="BS49" s="246"/>
      <c r="BT49" s="246"/>
      <c r="BU49" s="246"/>
      <c r="BV49" s="246"/>
      <c r="BW49" s="246"/>
      <c r="BX49" s="246"/>
      <c r="BY49" s="246"/>
      <c r="BZ49" s="246"/>
      <c r="CA49" s="246"/>
      <c r="CB49" s="246"/>
      <c r="CC49" s="246"/>
      <c r="CD49" s="246"/>
      <c r="CE49" s="246"/>
      <c r="CF49" s="246"/>
      <c r="CG49" s="246"/>
      <c r="CH49" s="246"/>
      <c r="CI49" s="246"/>
      <c r="CJ49" s="246"/>
      <c r="CK49" s="246"/>
      <c r="CL49" s="246"/>
      <c r="CM49" s="246"/>
      <c r="CN49" s="246"/>
      <c r="CO49" s="246"/>
      <c r="CP49" s="246"/>
      <c r="CQ49" s="246"/>
      <c r="CR49" s="246"/>
      <c r="CS49" s="246"/>
      <c r="CT49" s="246"/>
      <c r="CU49" s="246"/>
      <c r="CV49" s="246"/>
      <c r="CW49" s="246"/>
      <c r="CX49" s="246"/>
      <c r="CY49" s="246"/>
      <c r="CZ49" s="246"/>
      <c r="DA49" s="246"/>
      <c r="DB49" s="246"/>
      <c r="DC49" s="246"/>
      <c r="DD49" s="246"/>
      <c r="DE49" s="246"/>
      <c r="DF49" s="246"/>
      <c r="DG49" s="246"/>
      <c r="DH49" s="246"/>
      <c r="DI49" s="246"/>
      <c r="DJ49" s="246"/>
      <c r="DK49" s="246"/>
      <c r="DL49" s="246"/>
      <c r="DM49" s="246"/>
      <c r="DN49" s="246"/>
      <c r="DO49" s="246"/>
      <c r="DP49" s="246"/>
      <c r="DQ49" s="246"/>
      <c r="DR49" s="246"/>
      <c r="DS49" s="246"/>
      <c r="DT49" s="246"/>
      <c r="DU49" s="246"/>
      <c r="DV49" s="246"/>
      <c r="DW49" s="246"/>
      <c r="DX49" s="246"/>
      <c r="DY49" s="246"/>
      <c r="DZ49" s="246"/>
      <c r="EA49" s="246"/>
      <c r="EB49" s="246"/>
      <c r="EC49" s="246"/>
      <c r="ED49" s="246"/>
      <c r="EE49" s="246"/>
      <c r="EF49" s="246"/>
      <c r="EG49" s="246"/>
      <c r="EH49" s="246"/>
      <c r="EI49" s="246"/>
      <c r="EJ49" s="246"/>
      <c r="EK49" s="246"/>
      <c r="EL49" s="246"/>
      <c r="EM49" s="246"/>
      <c r="EN49" s="246"/>
      <c r="EO49" s="246"/>
      <c r="EP49" s="246"/>
      <c r="EQ49" s="246"/>
      <c r="ER49" s="246"/>
      <c r="ES49" s="246"/>
      <c r="ET49" s="246"/>
      <c r="EU49" s="246"/>
      <c r="EV49" s="246"/>
      <c r="EW49" s="246"/>
      <c r="EX49" s="246"/>
      <c r="EY49" s="246"/>
      <c r="EZ49" s="246"/>
      <c r="FA49" s="246"/>
      <c r="FB49" s="246"/>
      <c r="FC49" s="246"/>
      <c r="FD49" s="246"/>
      <c r="FE49" s="246"/>
      <c r="FF49" s="246"/>
      <c r="FG49" s="246"/>
      <c r="FH49" s="246"/>
      <c r="FI49" s="246"/>
      <c r="FJ49" s="246"/>
      <c r="FK49" s="246"/>
      <c r="FL49" s="246"/>
      <c r="FM49" s="246"/>
      <c r="FN49" s="246"/>
      <c r="FO49" s="246"/>
      <c r="FP49" s="246"/>
      <c r="FQ49" s="246"/>
      <c r="FR49" s="246"/>
      <c r="FS49" s="246"/>
      <c r="FT49" s="246"/>
      <c r="FU49" s="246"/>
      <c r="FV49" s="246"/>
      <c r="FW49" s="246"/>
      <c r="FX49" s="246"/>
      <c r="FY49" s="246"/>
      <c r="FZ49" s="246"/>
      <c r="GA49" s="246"/>
      <c r="GB49" s="246"/>
      <c r="GC49" s="246"/>
      <c r="GD49" s="24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roduct_Compliance">
    <tabColor rgb="FF277A2A"/>
    <outlinePr summaryBelow="0"/>
  </sheetPr>
  <sheetViews>
    <sheetView showGridLines="0" zoomScale="90" zoomScaleNormal="90" zoomScaleSheetLayoutView="100" workbookViewId="0">
      <pane xSplit="2" ySplit="4" topLeftCell="C27" activePane="bottomRight" state="frozen"/>
      <selection activeCell="B1" sqref="B1:B3"/>
      <selection pane="topRight" activeCell="C1" sqref="C1:D3"/>
      <selection pane="bottomLeft" activeCell="B5" sqref="B5:B17"/>
      <selection pane="bottomRight" activeCell="D39" sqref="D39"/>
    </sheetView>
  </sheetViews>
  <sheetFormatPr baseColWidth="10" defaultColWidth="13.5" defaultRowHeight="15"/>
  <cols>
    <col min="1" max="1" width="34.1640625" style="3" hidden="1" customWidth="1"/>
    <col min="2" max="2" width="4.1640625" style="3" customWidth="1"/>
    <col min="3" max="3" width="55.5" style="3" customWidth="1"/>
    <col min="4" max="4" width="59.33203125" style="229" customWidth="1"/>
    <col min="5" max="54" width="33.5" style="126" customWidth="1"/>
    <col min="55" max="255" width="9.1640625" style="3" customWidth="1"/>
    <col min="256" max="16384" width="13.5" style="3"/>
  </cols>
  <sheetData>
    <row r="1" spans="1:255" s="194" customFormat="1" ht="17" thickTop="1" thickBot="1">
      <c r="A1" t="s" s="238">
        <v>191</v>
      </c>
      <c r="B1" t="s" s="301">
        <v>1866</v>
      </c>
      <c r="C1" t="s" s="295">
        <v>977</v>
      </c>
      <c r="D1" s="296"/>
      <c r="E1" s="99">
        <f ca="1" t="shared" ref="E1:AJ1" si="0">INDEX(INDIRECT("Setup_Sheet!$A$1:$BB$200"),MATCH("PRODUCT INFORMATION",INDIRECT("Setup_Sheet!$C$1:$C$200"),0),COLUMN())</f>
      </c>
      <c r="F1" s="123">
        <f ca="1" t="shared" si="0"/>
      </c>
      <c r="G1" s="123">
        <f ca="1" t="shared" si="0"/>
      </c>
      <c r="H1" s="123">
        <f ca="1" t="shared" si="0"/>
      </c>
      <c r="I1" s="123">
        <f ca="1" t="shared" si="0"/>
      </c>
      <c r="J1" s="123">
        <f ca="1" t="shared" si="0"/>
      </c>
      <c r="K1" s="123">
        <f ca="1" t="shared" si="0"/>
      </c>
      <c r="L1" s="123">
        <f ca="1" t="shared" si="0"/>
      </c>
      <c r="M1" s="123">
        <f ca="1" t="shared" si="0"/>
      </c>
      <c r="N1" s="123">
        <f ca="1" t="shared" si="0"/>
      </c>
      <c r="O1" s="123">
        <f ca="1" t="shared" si="0"/>
      </c>
      <c r="P1" s="123">
        <f ca="1" t="shared" si="0"/>
      </c>
      <c r="Q1" s="123">
        <f ca="1" t="shared" si="0"/>
      </c>
      <c r="R1" s="123">
        <f ca="1" t="shared" si="0"/>
      </c>
      <c r="S1" s="123">
        <f ca="1" t="shared" si="0"/>
      </c>
      <c r="T1" s="123">
        <f ca="1" t="shared" si="0"/>
      </c>
      <c r="U1" s="123">
        <f ca="1" t="shared" si="0"/>
      </c>
      <c r="V1" s="123">
        <f ca="1" t="shared" si="0"/>
      </c>
      <c r="W1" s="123">
        <f ca="1" t="shared" si="0"/>
      </c>
      <c r="X1" s="123">
        <f ca="1" t="shared" si="0"/>
      </c>
      <c r="Y1" s="123">
        <f ca="1" t="shared" si="0"/>
      </c>
      <c r="Z1" s="123">
        <f ca="1" t="shared" si="0"/>
      </c>
      <c r="AA1" s="123">
        <f ca="1" t="shared" si="0"/>
      </c>
      <c r="AB1" s="123">
        <f ca="1" t="shared" si="0"/>
      </c>
      <c r="AC1" s="123">
        <f ca="1" t="shared" si="0"/>
      </c>
      <c r="AD1" s="123">
        <f ca="1" t="shared" si="0"/>
      </c>
      <c r="AE1" s="123">
        <f ca="1" t="shared" si="0"/>
      </c>
      <c r="AF1" s="123">
        <f ca="1" t="shared" si="0"/>
      </c>
      <c r="AG1" s="123">
        <f ca="1" t="shared" si="0"/>
      </c>
      <c r="AH1" s="123">
        <f ca="1" t="shared" si="0"/>
      </c>
      <c r="AI1" s="123">
        <f ca="1" t="shared" si="0"/>
      </c>
      <c r="AJ1" s="123">
        <f ca="1" t="shared" si="0"/>
      </c>
      <c r="AK1" s="123">
        <f ca="1" t="shared" ref="AK1:BB1" si="1">INDEX(INDIRECT("Setup_Sheet!$A$1:$BB$200"),MATCH("PRODUCT INFORMATION",INDIRECT("Setup_Sheet!$C$1:$C$200"),0),COLUMN())</f>
      </c>
      <c r="AL1" s="123">
        <f ca="1" t="shared" si="1"/>
      </c>
      <c r="AM1" s="123">
        <f ca="1" t="shared" si="1"/>
      </c>
      <c r="AN1" s="123">
        <f ca="1" t="shared" si="1"/>
      </c>
      <c r="AO1" s="123">
        <f ca="1" t="shared" si="1"/>
      </c>
      <c r="AP1" s="123">
        <f ca="1" t="shared" si="1"/>
      </c>
      <c r="AQ1" s="123">
        <f ca="1" t="shared" si="1"/>
      </c>
      <c r="AR1" s="123">
        <f ca="1" t="shared" si="1"/>
      </c>
      <c r="AS1" s="123">
        <f ca="1" t="shared" si="1"/>
      </c>
      <c r="AT1" s="123">
        <f ca="1" t="shared" si="1"/>
      </c>
      <c r="AU1" s="123">
        <f ca="1" t="shared" si="1"/>
      </c>
      <c r="AV1" s="123">
        <f ca="1" t="shared" si="1"/>
      </c>
      <c r="AW1" s="123">
        <f ca="1" t="shared" si="1"/>
      </c>
      <c r="AX1" s="123">
        <f ca="1" t="shared" si="1"/>
      </c>
      <c r="AY1" s="123">
        <f ca="1" t="shared" si="1"/>
      </c>
      <c r="AZ1" s="123">
        <f ca="1" t="shared" si="1"/>
      </c>
      <c r="BA1" s="123">
        <f ca="1" t="shared" si="1"/>
      </c>
      <c r="BB1" s="123">
        <f ca="1" t="shared" si="1"/>
      </c>
      <c r="BC1" s="179"/>
      <c r="BD1" s="209"/>
      <c r="BE1" s="209"/>
      <c r="BF1" s="209"/>
      <c r="BG1" s="209"/>
      <c r="BH1" s="209"/>
      <c r="BI1" s="209"/>
      <c r="BJ1" s="209"/>
      <c r="BK1" s="209"/>
      <c r="BL1" s="209"/>
      <c r="BM1" s="209"/>
      <c r="BN1" s="209"/>
      <c r="BO1" s="209"/>
      <c r="BP1" s="209"/>
      <c r="BQ1" s="209"/>
      <c r="BR1" s="209"/>
      <c r="BS1" s="209"/>
      <c r="BT1" s="209"/>
      <c r="BU1" s="209"/>
      <c r="BV1" s="209"/>
      <c r="BW1" s="209"/>
      <c r="BX1" s="209"/>
      <c r="BY1" s="209"/>
      <c r="BZ1" s="209"/>
      <c r="CA1" s="209"/>
      <c r="CB1" s="209"/>
      <c r="CC1" s="209"/>
      <c r="CD1" s="209"/>
      <c r="CE1" s="209"/>
      <c r="CF1" s="209"/>
      <c r="CG1" s="209"/>
      <c r="CH1" s="209"/>
      <c r="CI1" s="209"/>
      <c r="CJ1" s="209"/>
      <c r="CK1" s="209"/>
      <c r="CL1" s="209"/>
      <c r="CM1" s="209"/>
      <c r="CN1" s="209"/>
      <c r="CO1" s="209"/>
      <c r="CP1" s="209"/>
      <c r="CQ1" s="209"/>
      <c r="CR1" s="209"/>
      <c r="CS1" s="209"/>
      <c r="CT1" s="209"/>
      <c r="CU1" s="209"/>
      <c r="CV1" s="209"/>
      <c r="CW1" s="209"/>
      <c r="CX1" s="209"/>
      <c r="CY1" s="209"/>
      <c r="CZ1" s="209"/>
      <c r="DA1" s="209"/>
      <c r="DB1" s="209"/>
      <c r="DC1" s="209"/>
      <c r="DD1" s="209"/>
      <c r="DE1" s="209"/>
      <c r="DF1" s="209"/>
      <c r="DG1" s="209"/>
      <c r="DH1" s="209"/>
      <c r="DI1" s="209"/>
      <c r="DJ1" s="209"/>
      <c r="DK1" s="209"/>
      <c r="DL1" s="209"/>
      <c r="DM1" s="209"/>
      <c r="DN1" s="209"/>
      <c r="DO1" s="209"/>
      <c r="DP1" s="209"/>
      <c r="DQ1" s="209"/>
      <c r="DR1" s="209"/>
      <c r="DS1" s="209"/>
      <c r="DT1" s="209"/>
      <c r="DU1" s="209"/>
      <c r="DV1" s="209"/>
      <c r="DW1" s="209"/>
      <c r="DX1" s="209"/>
      <c r="DY1" s="209"/>
      <c r="DZ1" s="209"/>
      <c r="EA1" s="209"/>
      <c r="EB1" s="209"/>
      <c r="EC1" s="209"/>
      <c r="ED1" s="209"/>
      <c r="EE1" s="209"/>
      <c r="EF1" s="209"/>
      <c r="EG1" s="209"/>
      <c r="EH1" s="209"/>
      <c r="EI1" s="209"/>
      <c r="EJ1" s="209"/>
      <c r="EK1" s="209"/>
      <c r="EL1" s="209"/>
      <c r="EM1" s="209"/>
      <c r="EN1" s="209"/>
      <c r="EO1" s="209"/>
      <c r="EP1" s="209"/>
      <c r="EQ1" s="209"/>
      <c r="ER1" s="209"/>
      <c r="ES1" s="209"/>
      <c r="ET1" s="209"/>
      <c r="EU1" s="209"/>
      <c r="EV1" s="209"/>
      <c r="EW1" s="209"/>
      <c r="EX1" s="209"/>
      <c r="EY1" s="209"/>
      <c r="EZ1" s="209"/>
      <c r="FA1" s="209"/>
      <c r="FB1" s="209"/>
      <c r="FC1" s="209"/>
      <c r="FD1" s="209"/>
      <c r="FE1" s="209"/>
      <c r="FF1" s="209"/>
      <c r="FG1" s="209"/>
      <c r="FH1" s="209"/>
      <c r="FI1" s="209"/>
      <c r="FJ1" s="209"/>
      <c r="FK1" s="209"/>
      <c r="FL1" s="209"/>
      <c r="FM1" s="209"/>
      <c r="FN1" s="209"/>
      <c r="FO1" s="209"/>
      <c r="FP1" s="209"/>
      <c r="FQ1" s="209"/>
      <c r="FR1" s="209"/>
      <c r="FS1" s="209"/>
      <c r="FT1" s="209"/>
      <c r="FU1" s="209"/>
      <c r="FV1" s="209"/>
      <c r="FW1" s="209"/>
      <c r="FX1" s="209"/>
      <c r="FY1" s="209"/>
      <c r="FZ1" s="209"/>
      <c r="GA1" s="209"/>
      <c r="GB1" s="209"/>
      <c r="GC1" s="209"/>
      <c r="GD1" s="209"/>
      <c r="GE1" s="209"/>
      <c r="GF1" s="209"/>
      <c r="GG1" s="209"/>
      <c r="GH1" s="209"/>
      <c r="GI1" s="209"/>
      <c r="GJ1" s="209"/>
      <c r="GK1" s="209"/>
      <c r="GL1" s="209"/>
      <c r="GM1" s="209"/>
      <c r="GN1" s="209"/>
      <c r="GO1" s="209"/>
      <c r="GP1" s="209"/>
      <c r="GQ1" s="209"/>
      <c r="GR1" s="209"/>
      <c r="GS1" s="209"/>
      <c r="GT1" s="209"/>
      <c r="GU1" s="209"/>
      <c r="GV1" s="209"/>
      <c r="GW1" s="209"/>
      <c r="GX1" s="209"/>
      <c r="GY1" s="209"/>
      <c r="GZ1" s="209"/>
      <c r="HA1" s="209"/>
      <c r="HB1" s="209"/>
      <c r="HC1" s="209"/>
      <c r="HD1" s="209"/>
      <c r="HE1" s="209"/>
      <c r="HF1" s="209"/>
      <c r="HG1" s="209"/>
      <c r="HH1" s="209"/>
      <c r="HI1" s="209"/>
      <c r="HJ1" s="209"/>
      <c r="HK1" s="209"/>
      <c r="HL1" s="209"/>
      <c r="HM1" s="209"/>
      <c r="HN1" s="209"/>
      <c r="HO1" s="209"/>
      <c r="HP1" s="209"/>
      <c r="HQ1" s="209"/>
      <c r="HR1" s="209"/>
      <c r="HS1" s="209"/>
      <c r="HT1" s="209"/>
      <c r="HU1" s="209"/>
      <c r="HV1" s="209"/>
      <c r="HW1" s="209"/>
      <c r="HX1" s="209"/>
      <c r="HY1" s="209"/>
      <c r="HZ1" s="209"/>
      <c r="IA1" s="209"/>
      <c r="IB1" s="209"/>
      <c r="IC1" s="209"/>
      <c r="ID1" s="209"/>
      <c r="IE1" s="209"/>
      <c r="IF1" s="209"/>
      <c r="IG1" s="209"/>
      <c r="IH1" s="209"/>
      <c r="II1" s="209"/>
      <c r="IJ1" s="209"/>
      <c r="IK1" s="209"/>
      <c r="IL1" s="209"/>
      <c r="IM1" s="209"/>
      <c r="IN1" s="209"/>
      <c r="IO1" s="209"/>
      <c r="IP1" s="209"/>
      <c r="IQ1" s="209"/>
      <c r="IR1" s="209"/>
      <c r="IS1" s="209"/>
      <c r="IT1" s="209"/>
      <c r="IU1" s="209"/>
    </row>
    <row r="2" spans="1:255" ht="15.75" customHeight="1" thickTop="1">
      <c r="A2" t="s" s="74">
        <v>445</v>
      </c>
      <c r="B2" s="302"/>
      <c r="C2" s="297"/>
      <c r="D2" s="298"/>
      <c r="E2" s="116">
        <f ca="1" t="shared" ref="E2:BB2" si="2">INDEX(INDIRECT("Setup_Sheet!$A$1:$BB$200"),MATCH("UPC (PRIMARY)",INDIRECT("Setup_Sheet!$C$1:$C$200"),0),COLUMN())</f>
      </c>
      <c r="F2" s="91">
        <f ca="1" t="shared" si="2"/>
      </c>
      <c r="G2" s="91">
        <f ca="1" t="shared" si="2"/>
      </c>
      <c r="H2" s="91">
        <f ca="1" t="shared" si="2"/>
      </c>
      <c r="I2" s="91">
        <f ca="1" t="shared" si="2"/>
      </c>
      <c r="J2" s="91">
        <f ca="1" t="shared" si="2"/>
      </c>
      <c r="K2" s="91">
        <f ca="1" t="shared" si="2"/>
      </c>
      <c r="L2" s="91">
        <f ca="1" t="shared" si="2"/>
      </c>
      <c r="M2" s="91">
        <f ca="1" t="shared" si="2"/>
      </c>
      <c r="N2" s="91">
        <f ca="1" t="shared" si="2"/>
      </c>
      <c r="O2" s="91">
        <f ca="1" t="shared" si="2"/>
      </c>
      <c r="P2" s="91">
        <f ca="1" t="shared" si="2"/>
      </c>
      <c r="Q2" s="91">
        <f ca="1" t="shared" si="2"/>
      </c>
      <c r="R2" s="91">
        <f ca="1" t="shared" si="2"/>
      </c>
      <c r="S2" s="91">
        <f ca="1" t="shared" si="2"/>
      </c>
      <c r="T2" s="91">
        <f ca="1" t="shared" si="2"/>
      </c>
      <c r="U2" s="91">
        <f ca="1" t="shared" si="2"/>
      </c>
      <c r="V2" s="91">
        <f ca="1" t="shared" si="2"/>
      </c>
      <c r="W2" s="91">
        <f ca="1" t="shared" si="2"/>
      </c>
      <c r="X2" s="91">
        <f ca="1" t="shared" si="2"/>
      </c>
      <c r="Y2" s="91">
        <f ca="1" t="shared" si="2"/>
      </c>
      <c r="Z2" s="91">
        <f ca="1" t="shared" si="2"/>
      </c>
      <c r="AA2" s="91">
        <f ca="1" t="shared" si="2"/>
      </c>
      <c r="AB2" s="91">
        <f ca="1" t="shared" si="2"/>
      </c>
      <c r="AC2" s="91">
        <f ca="1" t="shared" si="2"/>
      </c>
      <c r="AD2" s="91">
        <f ca="1" t="shared" si="2"/>
      </c>
      <c r="AE2" s="91">
        <f ca="1" t="shared" si="2"/>
      </c>
      <c r="AF2" s="91">
        <f ca="1" t="shared" si="2"/>
      </c>
      <c r="AG2" s="91">
        <f ca="1" t="shared" si="2"/>
      </c>
      <c r="AH2" s="91">
        <f ca="1" t="shared" si="2"/>
      </c>
      <c r="AI2" s="91">
        <f ca="1" t="shared" si="2"/>
      </c>
      <c r="AJ2" s="91">
        <f ca="1" t="shared" si="2"/>
      </c>
      <c r="AK2" s="91">
        <f ca="1" t="shared" si="2"/>
      </c>
      <c r="AL2" s="91">
        <f ca="1" t="shared" si="2"/>
      </c>
      <c r="AM2" s="91">
        <f ca="1" t="shared" si="2"/>
      </c>
      <c r="AN2" s="91">
        <f ca="1" t="shared" si="2"/>
      </c>
      <c r="AO2" s="91">
        <f ca="1" t="shared" si="2"/>
      </c>
      <c r="AP2" s="91">
        <f ca="1" t="shared" si="2"/>
      </c>
      <c r="AQ2" s="91">
        <f ca="1" t="shared" si="2"/>
      </c>
      <c r="AR2" s="91">
        <f ca="1" t="shared" si="2"/>
      </c>
      <c r="AS2" s="91">
        <f ca="1" t="shared" si="2"/>
      </c>
      <c r="AT2" s="91">
        <f ca="1" t="shared" si="2"/>
      </c>
      <c r="AU2" s="91">
        <f ca="1" t="shared" si="2"/>
      </c>
      <c r="AV2" s="91">
        <f ca="1" t="shared" si="2"/>
      </c>
      <c r="AW2" s="91">
        <f ca="1" t="shared" si="2"/>
      </c>
      <c r="AX2" s="91">
        <f ca="1" t="shared" si="2"/>
      </c>
      <c r="AY2" s="91">
        <f ca="1" t="shared" si="2"/>
      </c>
      <c r="AZ2" s="91">
        <f ca="1" t="shared" si="2"/>
      </c>
      <c r="BA2" s="91">
        <f ca="1" t="shared" si="2"/>
      </c>
      <c r="BB2" s="91">
        <f ca="1" t="shared" si="2"/>
      </c>
    </row>
    <row r="3" spans="1:255" ht="16" thickBot="1">
      <c r="A3" t="s" s="74">
        <v>635</v>
      </c>
      <c r="B3" s="302"/>
      <c r="C3" s="299"/>
      <c r="D3" s="300"/>
      <c r="E3" s="116">
        <f ca="1" t="shared" ref="E3:AJ3" si="3">INDEX(INDIRECT("Setup_Sheet!$A$1:$BB$200"),MATCH("LONG DESCRIPTION",INDIRECT("Setup_Sheet!$C$1:$C$200"),0),COLUMN())</f>
      </c>
      <c r="F3" s="91">
        <f ca="1" t="shared" si="3"/>
      </c>
      <c r="G3" s="91">
        <f ca="1" t="shared" si="3"/>
      </c>
      <c r="H3" s="91">
        <f ca="1" t="shared" si="3"/>
      </c>
      <c r="I3" s="91">
        <f ca="1" t="shared" si="3"/>
      </c>
      <c r="J3" s="91">
        <f ca="1" t="shared" si="3"/>
      </c>
      <c r="K3" s="91">
        <f ca="1" t="shared" si="3"/>
      </c>
      <c r="L3" s="91">
        <f ca="1" t="shared" si="3"/>
      </c>
      <c r="M3" s="91">
        <f ca="1" t="shared" si="3"/>
      </c>
      <c r="N3" s="91">
        <f ca="1" t="shared" si="3"/>
      </c>
      <c r="O3" s="91">
        <f ca="1" t="shared" si="3"/>
      </c>
      <c r="P3" s="91">
        <f ca="1" t="shared" si="3"/>
      </c>
      <c r="Q3" s="91">
        <f ca="1" t="shared" si="3"/>
      </c>
      <c r="R3" s="91">
        <f ca="1" t="shared" si="3"/>
      </c>
      <c r="S3" s="91">
        <f ca="1" t="shared" si="3"/>
      </c>
      <c r="T3" s="91">
        <f ca="1" t="shared" si="3"/>
      </c>
      <c r="U3" s="91">
        <f ca="1" t="shared" si="3"/>
      </c>
      <c r="V3" s="91">
        <f ca="1" t="shared" si="3"/>
      </c>
      <c r="W3" s="91">
        <f ca="1" t="shared" si="3"/>
      </c>
      <c r="X3" s="91">
        <f ca="1" t="shared" si="3"/>
      </c>
      <c r="Y3" s="91">
        <f ca="1" t="shared" si="3"/>
      </c>
      <c r="Z3" s="91">
        <f ca="1" t="shared" si="3"/>
      </c>
      <c r="AA3" s="91">
        <f ca="1" t="shared" si="3"/>
      </c>
      <c r="AB3" s="91">
        <f ca="1" t="shared" si="3"/>
      </c>
      <c r="AC3" s="91">
        <f ca="1" t="shared" si="3"/>
      </c>
      <c r="AD3" s="91">
        <f ca="1" t="shared" si="3"/>
      </c>
      <c r="AE3" s="91">
        <f ca="1" t="shared" si="3"/>
      </c>
      <c r="AF3" s="91">
        <f ca="1" t="shared" si="3"/>
      </c>
      <c r="AG3" s="91">
        <f ca="1" t="shared" si="3"/>
      </c>
      <c r="AH3" s="91">
        <f ca="1" t="shared" si="3"/>
      </c>
      <c r="AI3" s="91">
        <f ca="1" t="shared" si="3"/>
      </c>
      <c r="AJ3" s="91">
        <f ca="1" t="shared" si="3"/>
      </c>
      <c r="AK3" s="91">
        <f ca="1" t="shared" ref="AK3:BB3" si="4">INDEX(INDIRECT("Setup_Sheet!$A$1:$BB$200"),MATCH("LONG DESCRIPTION",INDIRECT("Setup_Sheet!$C$1:$C$200"),0),COLUMN())</f>
      </c>
      <c r="AL3" s="91">
        <f ca="1" t="shared" si="4"/>
      </c>
      <c r="AM3" s="91">
        <f ca="1" t="shared" si="4"/>
      </c>
      <c r="AN3" s="91">
        <f ca="1" t="shared" si="4"/>
      </c>
      <c r="AO3" s="91">
        <f ca="1" t="shared" si="4"/>
      </c>
      <c r="AP3" s="91">
        <f ca="1" t="shared" si="4"/>
      </c>
      <c r="AQ3" s="91">
        <f ca="1" t="shared" si="4"/>
      </c>
      <c r="AR3" s="91">
        <f ca="1" t="shared" si="4"/>
      </c>
      <c r="AS3" s="91">
        <f ca="1" t="shared" si="4"/>
      </c>
      <c r="AT3" s="91">
        <f ca="1" t="shared" si="4"/>
      </c>
      <c r="AU3" s="91">
        <f ca="1" t="shared" si="4"/>
      </c>
      <c r="AV3" s="91">
        <f ca="1" t="shared" si="4"/>
      </c>
      <c r="AW3" s="91">
        <f ca="1" t="shared" si="4"/>
      </c>
      <c r="AX3" s="91">
        <f ca="1" t="shared" si="4"/>
      </c>
      <c r="AY3" s="91">
        <f ca="1" t="shared" si="4"/>
      </c>
      <c r="AZ3" s="91">
        <f ca="1" t="shared" si="4"/>
      </c>
      <c r="BA3" s="91">
        <f ca="1" t="shared" si="4"/>
      </c>
      <c r="BB3" s="91">
        <f ca="1" t="shared" si="4"/>
      </c>
    </row>
    <row r="4" spans="1:255" ht="17" thickBot="1">
      <c r="A4" t="s" s="110">
        <v>190</v>
      </c>
      <c r="B4" s="51"/>
      <c r="C4" t="s" s="231">
        <v>1842</v>
      </c>
      <c r="D4" t="s" s="141">
        <v>443</v>
      </c>
      <c r="E4" s="97">
        <f ca="1">INDEX(INDIRECT("Setup_Sheet!$A$1:$BB$200"),MATCH("MODEL NO.",INDIRECT("Setup_Sheet!$C$1:$C$200"),0),COLUMN())</f>
      </c>
      <c r="F4" s="97">
        <f ca="1" t="shared" ref="F4:BB4" si="5">INDEX(INDIRECT("Setup_Sheet!$A$1:$BB$200"),MATCH("MODEL NO.",INDIRECT("Setup_Sheet!$C$1:$C$200"),0),COLUMN())</f>
      </c>
      <c r="G4" s="97">
        <f ca="1" t="shared" si="5"/>
      </c>
      <c r="H4" s="97">
        <f ca="1" t="shared" si="5"/>
      </c>
      <c r="I4" s="97">
        <f ca="1" t="shared" si="5"/>
      </c>
      <c r="J4" s="97">
        <f ca="1" t="shared" si="5"/>
      </c>
      <c r="K4" s="97">
        <f ca="1" t="shared" si="5"/>
      </c>
      <c r="L4" s="97">
        <f ca="1" t="shared" si="5"/>
      </c>
      <c r="M4" s="97">
        <f ca="1" t="shared" si="5"/>
      </c>
      <c r="N4" s="97">
        <f ca="1" t="shared" si="5"/>
      </c>
      <c r="O4" s="97">
        <f ca="1" t="shared" si="5"/>
      </c>
      <c r="P4" s="97">
        <f ca="1" t="shared" si="5"/>
      </c>
      <c r="Q4" s="97">
        <f ca="1" t="shared" si="5"/>
      </c>
      <c r="R4" s="97">
        <f ca="1" t="shared" si="5"/>
      </c>
      <c r="S4" s="97">
        <f ca="1" t="shared" si="5"/>
      </c>
      <c r="T4" s="97">
        <f ca="1" t="shared" si="5"/>
      </c>
      <c r="U4" s="97">
        <f ca="1" t="shared" si="5"/>
      </c>
      <c r="V4" s="97">
        <f ca="1" t="shared" si="5"/>
      </c>
      <c r="W4" s="97">
        <f ca="1" t="shared" si="5"/>
      </c>
      <c r="X4" s="97">
        <f ca="1" t="shared" si="5"/>
      </c>
      <c r="Y4" s="97">
        <f ca="1" t="shared" si="5"/>
      </c>
      <c r="Z4" s="97">
        <f ca="1" t="shared" si="5"/>
      </c>
      <c r="AA4" s="97">
        <f ca="1" t="shared" si="5"/>
      </c>
      <c r="AB4" s="97">
        <f ca="1" t="shared" si="5"/>
      </c>
      <c r="AC4" s="97">
        <f ca="1" t="shared" si="5"/>
      </c>
      <c r="AD4" s="97">
        <f ca="1" t="shared" si="5"/>
      </c>
      <c r="AE4" s="97">
        <f ca="1" t="shared" si="5"/>
      </c>
      <c r="AF4" s="97">
        <f ca="1" t="shared" si="5"/>
      </c>
      <c r="AG4" s="97">
        <f ca="1" t="shared" si="5"/>
      </c>
      <c r="AH4" s="97">
        <f ca="1" t="shared" si="5"/>
      </c>
      <c r="AI4" s="97">
        <f ca="1" t="shared" si="5"/>
      </c>
      <c r="AJ4" s="97">
        <f ca="1" t="shared" si="5"/>
      </c>
      <c r="AK4" s="97">
        <f ca="1" t="shared" si="5"/>
      </c>
      <c r="AL4" s="97">
        <f ca="1" t="shared" si="5"/>
      </c>
      <c r="AM4" s="97">
        <f ca="1" t="shared" si="5"/>
      </c>
      <c r="AN4" s="97">
        <f ca="1" t="shared" si="5"/>
      </c>
      <c r="AO4" s="97">
        <f ca="1" t="shared" si="5"/>
      </c>
      <c r="AP4" s="97">
        <f ca="1" t="shared" si="5"/>
      </c>
      <c r="AQ4" s="97">
        <f ca="1" t="shared" si="5"/>
      </c>
      <c r="AR4" s="97">
        <f ca="1" t="shared" si="5"/>
      </c>
      <c r="AS4" s="97">
        <f ca="1" t="shared" si="5"/>
      </c>
      <c r="AT4" s="97">
        <f ca="1" t="shared" si="5"/>
      </c>
      <c r="AU4" s="97">
        <f ca="1" t="shared" si="5"/>
      </c>
      <c r="AV4" s="97">
        <f ca="1" t="shared" si="5"/>
      </c>
      <c r="AW4" s="97">
        <f ca="1" t="shared" si="5"/>
      </c>
      <c r="AX4" s="97">
        <f ca="1" t="shared" si="5"/>
      </c>
      <c r="AY4" s="97">
        <f ca="1" t="shared" si="5"/>
      </c>
      <c r="AZ4" s="97">
        <f ca="1" t="shared" si="5"/>
      </c>
      <c r="BA4" s="97">
        <f ca="1" t="shared" si="5"/>
      </c>
      <c r="BB4" s="97">
        <f ca="1" t="shared" si="5"/>
      </c>
    </row>
    <row r="5" spans="1:255" s="155" customFormat="1" ht="16" thickBot="1">
      <c r="A5" t="s" s="212">
        <v>408</v>
      </c>
      <c r="B5" t="s" s="303">
        <v>596</v>
      </c>
      <c r="C5" t="s" s="113">
        <v>1090</v>
      </c>
      <c r="D5" s="267"/>
      <c r="E5" s="267"/>
      <c r="F5" s="267"/>
      <c r="G5" s="267"/>
      <c r="H5" s="267"/>
      <c r="I5" s="267"/>
      <c r="J5" s="267"/>
      <c r="K5" s="267"/>
      <c r="L5" s="267"/>
      <c r="M5" s="267"/>
      <c r="N5" s="267"/>
      <c r="O5" s="267"/>
      <c r="P5" s="267"/>
      <c r="Q5" s="267"/>
      <c r="R5" s="267"/>
      <c r="S5" s="267"/>
      <c r="T5" s="267"/>
      <c r="U5" s="267"/>
      <c r="V5" s="267"/>
      <c r="W5" s="267"/>
      <c r="X5" s="267"/>
      <c r="Y5" s="267"/>
      <c r="Z5" s="267"/>
      <c r="AA5" s="267"/>
      <c r="AB5" s="267"/>
      <c r="AC5" s="267"/>
      <c r="AD5" s="267"/>
      <c r="AE5" s="267"/>
      <c r="AF5" s="267"/>
      <c r="AG5" s="267"/>
      <c r="AH5" s="267"/>
      <c r="AI5" s="267"/>
      <c r="AJ5" s="267"/>
      <c r="AK5" s="267"/>
      <c r="AL5" s="267"/>
      <c r="AM5" s="267"/>
      <c r="AN5" s="267"/>
      <c r="AO5" s="267"/>
      <c r="AP5" s="267"/>
      <c r="AQ5" s="267"/>
      <c r="AR5" s="267"/>
      <c r="AS5" s="267"/>
      <c r="AT5" s="267"/>
      <c r="AU5" s="267"/>
      <c r="AV5" s="267"/>
      <c r="AW5" s="267"/>
      <c r="AX5" s="267"/>
      <c r="AY5" s="267"/>
      <c r="AZ5" s="267"/>
      <c r="BA5" s="267"/>
      <c r="BB5" s="268"/>
    </row>
    <row r="6" spans="1:255" s="155" customFormat="1" ht="16">
      <c r="A6" t="s" s="212">
        <v>1372</v>
      </c>
      <c r="B6" s="304"/>
      <c r="C6" t="s" s="306">
        <v>723</v>
      </c>
      <c r="D6" t="s" s="96">
        <v>1206</v>
      </c>
      <c r="E6" s="235">
        <v>0</v>
      </c>
      <c r="F6" s="235">
        <v>0</v>
      </c>
      <c r="G6" s="235">
        <v>0</v>
      </c>
      <c r="H6" s="235">
        <v>0</v>
      </c>
      <c r="I6" s="235">
        <v>0</v>
      </c>
      <c r="J6" s="235">
        <v>0</v>
      </c>
      <c r="K6" s="235">
        <v>0</v>
      </c>
      <c r="L6" s="235">
        <v>0</v>
      </c>
      <c r="M6" s="235">
        <v>0</v>
      </c>
      <c r="N6" s="235">
        <v>0</v>
      </c>
      <c r="O6" s="235">
        <v>0</v>
      </c>
      <c r="P6" s="235">
        <v>0</v>
      </c>
      <c r="Q6" s="235">
        <v>0</v>
      </c>
      <c r="R6" s="235">
        <v>0</v>
      </c>
      <c r="S6" s="235">
        <v>0</v>
      </c>
      <c r="T6" s="235">
        <v>0</v>
      </c>
      <c r="U6" s="235">
        <v>0</v>
      </c>
      <c r="V6" s="235">
        <v>0</v>
      </c>
      <c r="W6" s="235">
        <v>0</v>
      </c>
      <c r="X6" s="235">
        <v>0</v>
      </c>
      <c r="Y6" s="235">
        <v>0</v>
      </c>
      <c r="Z6" s="235">
        <v>0</v>
      </c>
      <c r="AA6" s="235">
        <v>0</v>
      </c>
      <c r="AB6" s="235">
        <v>0</v>
      </c>
      <c r="AC6" s="235">
        <v>0</v>
      </c>
      <c r="AD6" s="235">
        <v>0</v>
      </c>
      <c r="AE6" s="235">
        <v>0</v>
      </c>
      <c r="AF6" s="235">
        <v>0</v>
      </c>
      <c r="AG6" s="235">
        <v>0</v>
      </c>
      <c r="AH6" s="235">
        <v>0</v>
      </c>
      <c r="AI6" s="235">
        <v>0</v>
      </c>
      <c r="AJ6" s="235">
        <v>0</v>
      </c>
      <c r="AK6" s="235">
        <v>0</v>
      </c>
      <c r="AL6" s="235">
        <v>0</v>
      </c>
      <c r="AM6" s="235">
        <v>0</v>
      </c>
      <c r="AN6" s="235">
        <v>0</v>
      </c>
      <c r="AO6" s="235">
        <v>0</v>
      </c>
      <c r="AP6" s="235">
        <v>0</v>
      </c>
      <c r="AQ6" s="235">
        <v>0</v>
      </c>
      <c r="AR6" s="235">
        <v>0</v>
      </c>
      <c r="AS6" s="235">
        <v>0</v>
      </c>
      <c r="AT6" s="235">
        <v>0</v>
      </c>
      <c r="AU6" s="235">
        <v>0</v>
      </c>
      <c r="AV6" s="235">
        <v>0</v>
      </c>
      <c r="AW6" s="235">
        <v>0</v>
      </c>
      <c r="AX6" s="235">
        <v>0</v>
      </c>
      <c r="AY6" s="235">
        <v>0</v>
      </c>
      <c r="AZ6" s="235">
        <v>0</v>
      </c>
      <c r="BA6" s="235">
        <v>0</v>
      </c>
      <c r="BB6" s="235">
        <v>0</v>
      </c>
    </row>
    <row r="7" spans="1:255">
      <c r="A7" t="s" s="212">
        <v>1574</v>
      </c>
      <c r="B7" s="304"/>
      <c r="C7" s="273"/>
      <c r="D7" t="s" s="7">
        <v>1475</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08">
        <v>0</v>
      </c>
      <c r="AI7" s="108">
        <v>0</v>
      </c>
      <c r="AJ7" s="108">
        <v>0</v>
      </c>
      <c r="AK7" s="108">
        <v>0</v>
      </c>
      <c r="AL7" s="108">
        <v>0</v>
      </c>
      <c r="AM7" s="108">
        <v>0</v>
      </c>
      <c r="AN7" s="108">
        <v>0</v>
      </c>
      <c r="AO7" s="108">
        <v>0</v>
      </c>
      <c r="AP7" s="108">
        <v>0</v>
      </c>
      <c r="AQ7" s="108">
        <v>0</v>
      </c>
      <c r="AR7" s="108">
        <v>0</v>
      </c>
      <c r="AS7" s="108">
        <v>0</v>
      </c>
      <c r="AT7" s="108">
        <v>0</v>
      </c>
      <c r="AU7" s="108">
        <v>0</v>
      </c>
      <c r="AV7" s="108">
        <v>0</v>
      </c>
      <c r="AW7" s="108">
        <v>0</v>
      </c>
      <c r="AX7" s="108">
        <v>0</v>
      </c>
      <c r="AY7" s="108">
        <v>0</v>
      </c>
      <c r="AZ7" s="108">
        <v>0</v>
      </c>
      <c r="BA7" s="108">
        <v>0</v>
      </c>
      <c r="BB7" s="108">
        <v>0</v>
      </c>
    </row>
    <row r="8" spans="1:255" ht="16">
      <c r="A8" t="s" s="212">
        <v>986</v>
      </c>
      <c r="B8" s="304"/>
      <c r="C8" s="273"/>
      <c r="D8" t="s" s="150">
        <v>1206</v>
      </c>
      <c r="E8" s="45">
        <v>0</v>
      </c>
      <c r="F8" s="45">
        <v>0</v>
      </c>
      <c r="G8" s="45">
        <v>0</v>
      </c>
      <c r="H8" s="45">
        <v>0</v>
      </c>
      <c r="I8" s="45">
        <v>0</v>
      </c>
      <c r="J8" s="45">
        <v>0</v>
      </c>
      <c r="K8" s="45">
        <v>0</v>
      </c>
      <c r="L8" s="45">
        <v>0</v>
      </c>
      <c r="M8" s="45">
        <v>0</v>
      </c>
      <c r="N8" s="45">
        <v>0</v>
      </c>
      <c r="O8" s="45">
        <v>0</v>
      </c>
      <c r="P8" s="45">
        <v>0</v>
      </c>
      <c r="Q8" s="45">
        <v>0</v>
      </c>
      <c r="R8" s="45">
        <v>0</v>
      </c>
      <c r="S8" s="45">
        <v>0</v>
      </c>
      <c r="T8" s="45">
        <v>0</v>
      </c>
      <c r="U8" s="45">
        <v>0</v>
      </c>
      <c r="V8" s="45">
        <v>0</v>
      </c>
      <c r="W8" s="45">
        <v>0</v>
      </c>
      <c r="X8" s="45">
        <v>0</v>
      </c>
      <c r="Y8" s="45">
        <v>0</v>
      </c>
      <c r="Z8" s="45">
        <v>0</v>
      </c>
      <c r="AA8" s="45">
        <v>0</v>
      </c>
      <c r="AB8" s="45">
        <v>0</v>
      </c>
      <c r="AC8" s="45">
        <v>0</v>
      </c>
      <c r="AD8" s="45">
        <v>0</v>
      </c>
      <c r="AE8" s="45">
        <v>0</v>
      </c>
      <c r="AF8" s="45">
        <v>0</v>
      </c>
      <c r="AG8" s="45">
        <v>0</v>
      </c>
      <c r="AH8" s="45">
        <v>0</v>
      </c>
      <c r="AI8" s="45">
        <v>0</v>
      </c>
      <c r="AJ8" s="45">
        <v>0</v>
      </c>
      <c r="AK8" s="45">
        <v>0</v>
      </c>
      <c r="AL8" s="45">
        <v>0</v>
      </c>
      <c r="AM8" s="45">
        <v>0</v>
      </c>
      <c r="AN8" s="45">
        <v>0</v>
      </c>
      <c r="AO8" s="45">
        <v>0</v>
      </c>
      <c r="AP8" s="45">
        <v>0</v>
      </c>
      <c r="AQ8" s="45">
        <v>0</v>
      </c>
      <c r="AR8" s="45">
        <v>0</v>
      </c>
      <c r="AS8" s="45">
        <v>0</v>
      </c>
      <c r="AT8" s="45">
        <v>0</v>
      </c>
      <c r="AU8" s="45">
        <v>0</v>
      </c>
      <c r="AV8" s="45">
        <v>0</v>
      </c>
      <c r="AW8" s="45">
        <v>0</v>
      </c>
      <c r="AX8" s="45">
        <v>0</v>
      </c>
      <c r="AY8" s="45">
        <v>0</v>
      </c>
      <c r="AZ8" s="45">
        <v>0</v>
      </c>
      <c r="BA8" s="45">
        <v>0</v>
      </c>
      <c r="BB8" s="45">
        <v>0</v>
      </c>
    </row>
    <row r="9" spans="1:255">
      <c r="A9" t="s" s="212">
        <v>1025</v>
      </c>
      <c r="B9" s="304"/>
      <c r="C9" s="273"/>
      <c r="D9" t="s" s="7">
        <v>1475</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08">
        <v>0</v>
      </c>
      <c r="AI9" s="108">
        <v>0</v>
      </c>
      <c r="AJ9" s="108">
        <v>0</v>
      </c>
      <c r="AK9" s="108">
        <v>0</v>
      </c>
      <c r="AL9" s="108">
        <v>0</v>
      </c>
      <c r="AM9" s="108">
        <v>0</v>
      </c>
      <c r="AN9" s="108">
        <v>0</v>
      </c>
      <c r="AO9" s="108">
        <v>0</v>
      </c>
      <c r="AP9" s="108">
        <v>0</v>
      </c>
      <c r="AQ9" s="108">
        <v>0</v>
      </c>
      <c r="AR9" s="108">
        <v>0</v>
      </c>
      <c r="AS9" s="108">
        <v>0</v>
      </c>
      <c r="AT9" s="108">
        <v>0</v>
      </c>
      <c r="AU9" s="108">
        <v>0</v>
      </c>
      <c r="AV9" s="108">
        <v>0</v>
      </c>
      <c r="AW9" s="108">
        <v>0</v>
      </c>
      <c r="AX9" s="108">
        <v>0</v>
      </c>
      <c r="AY9" s="108">
        <v>0</v>
      </c>
      <c r="AZ9" s="108">
        <v>0</v>
      </c>
      <c r="BA9" s="108">
        <v>0</v>
      </c>
      <c r="BB9" s="108">
        <v>0</v>
      </c>
    </row>
    <row r="10" spans="1:255" ht="16">
      <c r="A10" t="s" s="212">
        <v>172</v>
      </c>
      <c r="B10" s="304"/>
      <c r="C10" s="273"/>
      <c r="D10" t="s" s="150">
        <v>1206</v>
      </c>
      <c r="E10" s="45">
        <v>0</v>
      </c>
      <c r="F10" s="45">
        <v>0</v>
      </c>
      <c r="G10" s="45">
        <v>0</v>
      </c>
      <c r="H10" s="45">
        <v>0</v>
      </c>
      <c r="I10" s="45">
        <v>0</v>
      </c>
      <c r="J10" s="45">
        <v>0</v>
      </c>
      <c r="K10" s="45">
        <v>0</v>
      </c>
      <c r="L10" s="45">
        <v>0</v>
      </c>
      <c r="M10" s="45">
        <v>0</v>
      </c>
      <c r="N10" s="45">
        <v>0</v>
      </c>
      <c r="O10" s="45">
        <v>0</v>
      </c>
      <c r="P10" s="45">
        <v>0</v>
      </c>
      <c r="Q10" s="45">
        <v>0</v>
      </c>
      <c r="R10" s="45">
        <v>0</v>
      </c>
      <c r="S10" s="45">
        <v>0</v>
      </c>
      <c r="T10" s="45">
        <v>0</v>
      </c>
      <c r="U10" s="45">
        <v>0</v>
      </c>
      <c r="V10" s="45">
        <v>0</v>
      </c>
      <c r="W10" s="45">
        <v>0</v>
      </c>
      <c r="X10" s="45">
        <v>0</v>
      </c>
      <c r="Y10" s="45">
        <v>0</v>
      </c>
      <c r="Z10" s="45">
        <v>0</v>
      </c>
      <c r="AA10" s="45">
        <v>0</v>
      </c>
      <c r="AB10" s="45">
        <v>0</v>
      </c>
      <c r="AC10" s="45">
        <v>0</v>
      </c>
      <c r="AD10" s="45">
        <v>0</v>
      </c>
      <c r="AE10" s="45">
        <v>0</v>
      </c>
      <c r="AF10" s="45">
        <v>0</v>
      </c>
      <c r="AG10" s="45">
        <v>0</v>
      </c>
      <c r="AH10" s="45">
        <v>0</v>
      </c>
      <c r="AI10" s="45">
        <v>0</v>
      </c>
      <c r="AJ10" s="45">
        <v>0</v>
      </c>
      <c r="AK10" s="45">
        <v>0</v>
      </c>
      <c r="AL10" s="45">
        <v>0</v>
      </c>
      <c r="AM10" s="45">
        <v>0</v>
      </c>
      <c r="AN10" s="45">
        <v>0</v>
      </c>
      <c r="AO10" s="45">
        <v>0</v>
      </c>
      <c r="AP10" s="45">
        <v>0</v>
      </c>
      <c r="AQ10" s="45">
        <v>0</v>
      </c>
      <c r="AR10" s="45">
        <v>0</v>
      </c>
      <c r="AS10" s="45">
        <v>0</v>
      </c>
      <c r="AT10" s="45">
        <v>0</v>
      </c>
      <c r="AU10" s="45">
        <v>0</v>
      </c>
      <c r="AV10" s="45">
        <v>0</v>
      </c>
      <c r="AW10" s="45">
        <v>0</v>
      </c>
      <c r="AX10" s="45">
        <v>0</v>
      </c>
      <c r="AY10" s="45">
        <v>0</v>
      </c>
      <c r="AZ10" s="45">
        <v>0</v>
      </c>
      <c r="BA10" s="45">
        <v>0</v>
      </c>
      <c r="BB10" s="45">
        <v>0</v>
      </c>
    </row>
    <row r="11" spans="1:255">
      <c r="A11" t="s" s="212">
        <v>961</v>
      </c>
      <c r="B11" s="304"/>
      <c r="C11" s="307"/>
      <c r="D11" t="s" s="7">
        <v>1475</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08">
        <v>0</v>
      </c>
      <c r="AI11" s="108">
        <v>0</v>
      </c>
      <c r="AJ11" s="108">
        <v>0</v>
      </c>
      <c r="AK11" s="108">
        <v>0</v>
      </c>
      <c r="AL11" s="108">
        <v>0</v>
      </c>
      <c r="AM11" s="108">
        <v>0</v>
      </c>
      <c r="AN11" s="108">
        <v>0</v>
      </c>
      <c r="AO11" s="108">
        <v>0</v>
      </c>
      <c r="AP11" s="108">
        <v>0</v>
      </c>
      <c r="AQ11" s="108">
        <v>0</v>
      </c>
      <c r="AR11" s="108">
        <v>0</v>
      </c>
      <c r="AS11" s="108">
        <v>0</v>
      </c>
      <c r="AT11" s="108">
        <v>0</v>
      </c>
      <c r="AU11" s="108">
        <v>0</v>
      </c>
      <c r="AV11" s="108">
        <v>0</v>
      </c>
      <c r="AW11" s="108">
        <v>0</v>
      </c>
      <c r="AX11" s="108">
        <v>0</v>
      </c>
      <c r="AY11" s="108">
        <v>0</v>
      </c>
      <c r="AZ11" s="108">
        <v>0</v>
      </c>
      <c r="BA11" s="108">
        <v>0</v>
      </c>
      <c r="BB11" s="108">
        <v>0</v>
      </c>
    </row>
    <row r="12" spans="1:255">
      <c r="A12" t="s" s="212">
        <v>614</v>
      </c>
      <c r="B12" s="304"/>
      <c r="C12" t="s" s="272">
        <v>106</v>
      </c>
      <c r="D12" t="s" s="55">
        <v>1665</v>
      </c>
      <c r="E12" s="45">
        <v>0</v>
      </c>
      <c r="F12" s="45">
        <v>0</v>
      </c>
      <c r="G12" s="45">
        <v>0</v>
      </c>
      <c r="H12" s="45">
        <v>0</v>
      </c>
      <c r="I12" s="45">
        <v>0</v>
      </c>
      <c r="J12" s="45">
        <v>0</v>
      </c>
      <c r="K12" s="45">
        <v>0</v>
      </c>
      <c r="L12" s="45">
        <v>0</v>
      </c>
      <c r="M12" s="45">
        <v>0</v>
      </c>
      <c r="N12" s="45">
        <v>0</v>
      </c>
      <c r="O12" s="45">
        <v>0</v>
      </c>
      <c r="P12" s="45">
        <v>0</v>
      </c>
      <c r="Q12" s="45">
        <v>0</v>
      </c>
      <c r="R12" s="45">
        <v>0</v>
      </c>
      <c r="S12" s="45">
        <v>0</v>
      </c>
      <c r="T12" s="45">
        <v>0</v>
      </c>
      <c r="U12" s="45">
        <v>0</v>
      </c>
      <c r="V12" s="45">
        <v>0</v>
      </c>
      <c r="W12" s="45">
        <v>0</v>
      </c>
      <c r="X12" s="45">
        <v>0</v>
      </c>
      <c r="Y12" s="45">
        <v>0</v>
      </c>
      <c r="Z12" s="45">
        <v>0</v>
      </c>
      <c r="AA12" s="45">
        <v>0</v>
      </c>
      <c r="AB12" s="45">
        <v>0</v>
      </c>
      <c r="AC12" s="45">
        <v>0</v>
      </c>
      <c r="AD12" s="45">
        <v>0</v>
      </c>
      <c r="AE12" s="45">
        <v>0</v>
      </c>
      <c r="AF12" s="45">
        <v>0</v>
      </c>
      <c r="AG12" s="45">
        <v>0</v>
      </c>
      <c r="AH12" s="45">
        <v>0</v>
      </c>
      <c r="AI12" s="45">
        <v>0</v>
      </c>
      <c r="AJ12" s="45">
        <v>0</v>
      </c>
      <c r="AK12" s="45">
        <v>0</v>
      </c>
      <c r="AL12" s="45">
        <v>0</v>
      </c>
      <c r="AM12" s="45">
        <v>0</v>
      </c>
      <c r="AN12" s="45">
        <v>0</v>
      </c>
      <c r="AO12" s="45">
        <v>0</v>
      </c>
      <c r="AP12" s="45">
        <v>0</v>
      </c>
      <c r="AQ12" s="45">
        <v>0</v>
      </c>
      <c r="AR12" s="45">
        <v>0</v>
      </c>
      <c r="AS12" s="45">
        <v>0</v>
      </c>
      <c r="AT12" s="45">
        <v>0</v>
      </c>
      <c r="AU12" s="45">
        <v>0</v>
      </c>
      <c r="AV12" s="45">
        <v>0</v>
      </c>
      <c r="AW12" s="45">
        <v>0</v>
      </c>
      <c r="AX12" s="45">
        <v>0</v>
      </c>
      <c r="AY12" s="45">
        <v>0</v>
      </c>
      <c r="AZ12" s="45">
        <v>0</v>
      </c>
      <c r="BA12" s="45">
        <v>0</v>
      </c>
      <c r="BB12" s="45">
        <v>0</v>
      </c>
    </row>
    <row r="13" spans="1:255">
      <c r="A13" t="s" s="212">
        <v>1351</v>
      </c>
      <c r="B13" s="304"/>
      <c r="C13" s="273"/>
      <c r="D13" t="s" s="7">
        <v>1169</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08">
        <v>0</v>
      </c>
      <c r="AI13" s="108">
        <v>0</v>
      </c>
      <c r="AJ13" s="108">
        <v>0</v>
      </c>
      <c r="AK13" s="108">
        <v>0</v>
      </c>
      <c r="AL13" s="108">
        <v>0</v>
      </c>
      <c r="AM13" s="108">
        <v>0</v>
      </c>
      <c r="AN13" s="108">
        <v>0</v>
      </c>
      <c r="AO13" s="108">
        <v>0</v>
      </c>
      <c r="AP13" s="108">
        <v>0</v>
      </c>
      <c r="AQ13" s="108">
        <v>0</v>
      </c>
      <c r="AR13" s="108">
        <v>0</v>
      </c>
      <c r="AS13" s="108">
        <v>0</v>
      </c>
      <c r="AT13" s="108">
        <v>0</v>
      </c>
      <c r="AU13" s="108">
        <v>0</v>
      </c>
      <c r="AV13" s="108">
        <v>0</v>
      </c>
      <c r="AW13" s="108">
        <v>0</v>
      </c>
      <c r="AX13" s="108">
        <v>0</v>
      </c>
      <c r="AY13" s="108">
        <v>0</v>
      </c>
      <c r="AZ13" s="108">
        <v>0</v>
      </c>
      <c r="BA13" s="108">
        <v>0</v>
      </c>
      <c r="BB13" s="108">
        <v>0</v>
      </c>
    </row>
    <row r="14" spans="1:255">
      <c r="A14" t="s" s="212">
        <v>881</v>
      </c>
      <c r="B14" s="304"/>
      <c r="C14" s="273"/>
      <c r="D14" t="s" s="55">
        <v>1665</v>
      </c>
      <c r="E14" s="45">
        <v>0</v>
      </c>
      <c r="F14" s="45">
        <v>0</v>
      </c>
      <c r="G14" s="45">
        <v>0</v>
      </c>
      <c r="H14" s="45">
        <v>0</v>
      </c>
      <c r="I14" s="45">
        <v>0</v>
      </c>
      <c r="J14" s="45">
        <v>0</v>
      </c>
      <c r="K14" s="45">
        <v>0</v>
      </c>
      <c r="L14" s="45">
        <v>0</v>
      </c>
      <c r="M14" s="45">
        <v>0</v>
      </c>
      <c r="N14" s="45">
        <v>0</v>
      </c>
      <c r="O14" s="45">
        <v>0</v>
      </c>
      <c r="P14" s="45">
        <v>0</v>
      </c>
      <c r="Q14" s="45">
        <v>0</v>
      </c>
      <c r="R14" s="45">
        <v>0</v>
      </c>
      <c r="S14" s="45">
        <v>0</v>
      </c>
      <c r="T14" s="45">
        <v>0</v>
      </c>
      <c r="U14" s="45">
        <v>0</v>
      </c>
      <c r="V14" s="45">
        <v>0</v>
      </c>
      <c r="W14" s="45">
        <v>0</v>
      </c>
      <c r="X14" s="45">
        <v>0</v>
      </c>
      <c r="Y14" s="45">
        <v>0</v>
      </c>
      <c r="Z14" s="45">
        <v>0</v>
      </c>
      <c r="AA14" s="45">
        <v>0</v>
      </c>
      <c r="AB14" s="45">
        <v>0</v>
      </c>
      <c r="AC14" s="45">
        <v>0</v>
      </c>
      <c r="AD14" s="45">
        <v>0</v>
      </c>
      <c r="AE14" s="45">
        <v>0</v>
      </c>
      <c r="AF14" s="45">
        <v>0</v>
      </c>
      <c r="AG14" s="45">
        <v>0</v>
      </c>
      <c r="AH14" s="45">
        <v>0</v>
      </c>
      <c r="AI14" s="45">
        <v>0</v>
      </c>
      <c r="AJ14" s="45">
        <v>0</v>
      </c>
      <c r="AK14" s="45">
        <v>0</v>
      </c>
      <c r="AL14" s="45">
        <v>0</v>
      </c>
      <c r="AM14" s="45">
        <v>0</v>
      </c>
      <c r="AN14" s="45">
        <v>0</v>
      </c>
      <c r="AO14" s="45">
        <v>0</v>
      </c>
      <c r="AP14" s="45">
        <v>0</v>
      </c>
      <c r="AQ14" s="45">
        <v>0</v>
      </c>
      <c r="AR14" s="45">
        <v>0</v>
      </c>
      <c r="AS14" s="45">
        <v>0</v>
      </c>
      <c r="AT14" s="45">
        <v>0</v>
      </c>
      <c r="AU14" s="45">
        <v>0</v>
      </c>
      <c r="AV14" s="45">
        <v>0</v>
      </c>
      <c r="AW14" s="45">
        <v>0</v>
      </c>
      <c r="AX14" s="45">
        <v>0</v>
      </c>
      <c r="AY14" s="45">
        <v>0</v>
      </c>
      <c r="AZ14" s="45">
        <v>0</v>
      </c>
      <c r="BA14" s="45">
        <v>0</v>
      </c>
      <c r="BB14" s="45">
        <v>0</v>
      </c>
    </row>
    <row r="15" spans="1:255">
      <c r="A15" t="s" s="212">
        <v>835</v>
      </c>
      <c r="B15" s="304"/>
      <c r="C15" s="273"/>
      <c r="D15" t="s" s="7">
        <v>1169</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08">
        <v>0</v>
      </c>
      <c r="AI15" s="108">
        <v>0</v>
      </c>
      <c r="AJ15" s="108">
        <v>0</v>
      </c>
      <c r="AK15" s="108">
        <v>0</v>
      </c>
      <c r="AL15" s="108">
        <v>0</v>
      </c>
      <c r="AM15" s="108">
        <v>0</v>
      </c>
      <c r="AN15" s="108">
        <v>0</v>
      </c>
      <c r="AO15" s="108">
        <v>0</v>
      </c>
      <c r="AP15" s="108">
        <v>0</v>
      </c>
      <c r="AQ15" s="108">
        <v>0</v>
      </c>
      <c r="AR15" s="108">
        <v>0</v>
      </c>
      <c r="AS15" s="108">
        <v>0</v>
      </c>
      <c r="AT15" s="108">
        <v>0</v>
      </c>
      <c r="AU15" s="108">
        <v>0</v>
      </c>
      <c r="AV15" s="108">
        <v>0</v>
      </c>
      <c r="AW15" s="108">
        <v>0</v>
      </c>
      <c r="AX15" s="108">
        <v>0</v>
      </c>
      <c r="AY15" s="108">
        <v>0</v>
      </c>
      <c r="AZ15" s="108">
        <v>0</v>
      </c>
      <c r="BA15" s="108">
        <v>0</v>
      </c>
      <c r="BB15" s="108">
        <v>0</v>
      </c>
    </row>
    <row r="16" spans="1:255">
      <c r="A16" t="s" s="212">
        <v>461</v>
      </c>
      <c r="B16" s="304"/>
      <c r="C16" s="273"/>
      <c r="D16" t="s" s="55">
        <v>1665</v>
      </c>
      <c r="E16" s="45">
        <v>0</v>
      </c>
      <c r="F16" s="45">
        <v>0</v>
      </c>
      <c r="G16" s="45">
        <v>0</v>
      </c>
      <c r="H16" s="45">
        <v>0</v>
      </c>
      <c r="I16" s="45">
        <v>0</v>
      </c>
      <c r="J16" s="45">
        <v>0</v>
      </c>
      <c r="K16" s="45">
        <v>0</v>
      </c>
      <c r="L16" s="45">
        <v>0</v>
      </c>
      <c r="M16" s="45">
        <v>0</v>
      </c>
      <c r="N16" s="45">
        <v>0</v>
      </c>
      <c r="O16" s="45">
        <v>0</v>
      </c>
      <c r="P16" s="45">
        <v>0</v>
      </c>
      <c r="Q16" s="45">
        <v>0</v>
      </c>
      <c r="R16" s="45">
        <v>0</v>
      </c>
      <c r="S16" s="45">
        <v>0</v>
      </c>
      <c r="T16" s="45">
        <v>0</v>
      </c>
      <c r="U16" s="45">
        <v>0</v>
      </c>
      <c r="V16" s="45">
        <v>0</v>
      </c>
      <c r="W16" s="45">
        <v>0</v>
      </c>
      <c r="X16" s="45">
        <v>0</v>
      </c>
      <c r="Y16" s="45">
        <v>0</v>
      </c>
      <c r="Z16" s="45">
        <v>0</v>
      </c>
      <c r="AA16" s="45">
        <v>0</v>
      </c>
      <c r="AB16" s="45">
        <v>0</v>
      </c>
      <c r="AC16" s="45">
        <v>0</v>
      </c>
      <c r="AD16" s="45">
        <v>0</v>
      </c>
      <c r="AE16" s="45">
        <v>0</v>
      </c>
      <c r="AF16" s="45">
        <v>0</v>
      </c>
      <c r="AG16" s="45">
        <v>0</v>
      </c>
      <c r="AH16" s="45">
        <v>0</v>
      </c>
      <c r="AI16" s="45">
        <v>0</v>
      </c>
      <c r="AJ16" s="45">
        <v>0</v>
      </c>
      <c r="AK16" s="45">
        <v>0</v>
      </c>
      <c r="AL16" s="45">
        <v>0</v>
      </c>
      <c r="AM16" s="45">
        <v>0</v>
      </c>
      <c r="AN16" s="45">
        <v>0</v>
      </c>
      <c r="AO16" s="45">
        <v>0</v>
      </c>
      <c r="AP16" s="45">
        <v>0</v>
      </c>
      <c r="AQ16" s="45">
        <v>0</v>
      </c>
      <c r="AR16" s="45">
        <v>0</v>
      </c>
      <c r="AS16" s="45">
        <v>0</v>
      </c>
      <c r="AT16" s="45">
        <v>0</v>
      </c>
      <c r="AU16" s="45">
        <v>0</v>
      </c>
      <c r="AV16" s="45">
        <v>0</v>
      </c>
      <c r="AW16" s="45">
        <v>0</v>
      </c>
      <c r="AX16" s="45">
        <v>0</v>
      </c>
      <c r="AY16" s="45">
        <v>0</v>
      </c>
      <c r="AZ16" s="45">
        <v>0</v>
      </c>
      <c r="BA16" s="45">
        <v>0</v>
      </c>
      <c r="BB16" s="45">
        <v>0</v>
      </c>
    </row>
    <row r="17" spans="1:54" s="89" customFormat="1" ht="16" thickBot="1">
      <c r="A17" t="s" s="212">
        <v>571</v>
      </c>
      <c r="B17" s="305"/>
      <c r="C17" s="274"/>
      <c r="D17" t="s" s="166">
        <v>1169</v>
      </c>
      <c r="E17" s="200">
        <v>0</v>
      </c>
      <c r="F17" s="200">
        <v>0</v>
      </c>
      <c r="G17" s="200">
        <v>0</v>
      </c>
      <c r="H17" s="200">
        <v>0</v>
      </c>
      <c r="I17" s="200">
        <v>0</v>
      </c>
      <c r="J17" s="200">
        <v>0</v>
      </c>
      <c r="K17" s="200">
        <v>0</v>
      </c>
      <c r="L17" s="200">
        <v>0</v>
      </c>
      <c r="M17" s="200">
        <v>0</v>
      </c>
      <c r="N17" s="200">
        <v>0</v>
      </c>
      <c r="O17" s="200">
        <v>0</v>
      </c>
      <c r="P17" s="200">
        <v>0</v>
      </c>
      <c r="Q17" s="200">
        <v>0</v>
      </c>
      <c r="R17" s="200">
        <v>0</v>
      </c>
      <c r="S17" s="200">
        <v>0</v>
      </c>
      <c r="T17" s="200">
        <v>0</v>
      </c>
      <c r="U17" s="200">
        <v>0</v>
      </c>
      <c r="V17" s="200">
        <v>0</v>
      </c>
      <c r="W17" s="200">
        <v>0</v>
      </c>
      <c r="X17" s="200">
        <v>0</v>
      </c>
      <c r="Y17" s="200">
        <v>0</v>
      </c>
      <c r="Z17" s="200">
        <v>0</v>
      </c>
      <c r="AA17" s="200">
        <v>0</v>
      </c>
      <c r="AB17" s="200">
        <v>0</v>
      </c>
      <c r="AC17" s="200">
        <v>0</v>
      </c>
      <c r="AD17" s="200">
        <v>0</v>
      </c>
      <c r="AE17" s="200">
        <v>0</v>
      </c>
      <c r="AF17" s="200">
        <v>0</v>
      </c>
      <c r="AG17" s="200">
        <v>0</v>
      </c>
      <c r="AH17" s="200">
        <v>0</v>
      </c>
      <c r="AI17" s="200">
        <v>0</v>
      </c>
      <c r="AJ17" s="200">
        <v>0</v>
      </c>
      <c r="AK17" s="200">
        <v>0</v>
      </c>
      <c r="AL17" s="200">
        <v>0</v>
      </c>
      <c r="AM17" s="200">
        <v>0</v>
      </c>
      <c r="AN17" s="200">
        <v>0</v>
      </c>
      <c r="AO17" s="200">
        <v>0</v>
      </c>
      <c r="AP17" s="200">
        <v>0</v>
      </c>
      <c r="AQ17" s="200">
        <v>0</v>
      </c>
      <c r="AR17" s="200">
        <v>0</v>
      </c>
      <c r="AS17" s="200">
        <v>0</v>
      </c>
      <c r="AT17" s="200">
        <v>0</v>
      </c>
      <c r="AU17" s="200">
        <v>0</v>
      </c>
      <c r="AV17" s="200">
        <v>0</v>
      </c>
      <c r="AW17" s="200">
        <v>0</v>
      </c>
      <c r="AX17" s="200">
        <v>0</v>
      </c>
      <c r="AY17" s="200">
        <v>0</v>
      </c>
      <c r="AZ17" s="200">
        <v>0</v>
      </c>
      <c r="BA17" s="200">
        <v>0</v>
      </c>
      <c r="BB17" s="200">
        <v>0</v>
      </c>
    </row>
    <row r="18" spans="1:54" s="155" customFormat="1" ht="15" customHeight="1" thickBot="1">
      <c r="A18" t="s" s="212">
        <v>606</v>
      </c>
      <c r="B18" t="s" s="275">
        <v>1277</v>
      </c>
      <c r="C18" t="s" s="58">
        <v>919</v>
      </c>
      <c r="D18" s="308"/>
      <c r="E18" s="308"/>
      <c r="F18" s="308"/>
      <c r="G18" s="308"/>
      <c r="H18" s="308"/>
      <c r="I18" s="308"/>
      <c r="J18" s="308"/>
      <c r="K18" s="308"/>
      <c r="L18" s="308"/>
      <c r="M18" s="308"/>
      <c r="N18" s="308"/>
      <c r="O18" s="308"/>
      <c r="P18" s="308"/>
      <c r="Q18" s="308"/>
      <c r="R18" s="308"/>
      <c r="S18" s="308"/>
      <c r="T18" s="308"/>
      <c r="U18" s="308"/>
      <c r="V18" s="308"/>
      <c r="W18" s="308"/>
      <c r="X18" s="308"/>
      <c r="Y18" s="308"/>
      <c r="Z18" s="308"/>
      <c r="AA18" s="308"/>
      <c r="AB18" s="308"/>
      <c r="AC18" s="308"/>
      <c r="AD18" s="308"/>
      <c r="AE18" s="308"/>
      <c r="AF18" s="308"/>
      <c r="AG18" s="308"/>
      <c r="AH18" s="308"/>
      <c r="AI18" s="308"/>
      <c r="AJ18" s="308"/>
      <c r="AK18" s="308"/>
      <c r="AL18" s="308"/>
      <c r="AM18" s="308"/>
      <c r="AN18" s="308"/>
      <c r="AO18" s="308"/>
      <c r="AP18" s="308"/>
      <c r="AQ18" s="308"/>
      <c r="AR18" s="308"/>
      <c r="AS18" s="308"/>
      <c r="AT18" s="308"/>
      <c r="AU18" s="308"/>
      <c r="AV18" s="308"/>
      <c r="AW18" s="308"/>
      <c r="AX18" s="308"/>
      <c r="AY18" s="308"/>
      <c r="AZ18" s="308"/>
      <c r="BA18" s="308"/>
      <c r="BB18" s="309"/>
    </row>
    <row r="19" spans="1:54" ht="15" customHeight="1" thickBot="1">
      <c r="A19" t="s" s="212">
        <v>532</v>
      </c>
      <c r="B19" s="276"/>
      <c r="C19" t="s" s="281">
        <v>1357</v>
      </c>
      <c r="D19" t="s" s="156">
        <v>902</v>
      </c>
      <c r="E19" s="158">
        <v>0.016</v>
      </c>
      <c r="F19" s="158">
        <v>0.016</v>
      </c>
      <c r="G19" s="158">
        <v>0</v>
      </c>
      <c r="H19" s="158">
        <v>0</v>
      </c>
      <c r="I19" s="158">
        <v>0</v>
      </c>
      <c r="J19" s="158">
        <v>0</v>
      </c>
      <c r="K19" s="158">
        <v>0</v>
      </c>
      <c r="L19" s="158">
        <v>0</v>
      </c>
      <c r="M19" s="158">
        <v>0</v>
      </c>
      <c r="N19" s="158">
        <v>0</v>
      </c>
      <c r="O19" s="158">
        <v>0</v>
      </c>
      <c r="P19" s="158">
        <v>0</v>
      </c>
      <c r="Q19" s="158">
        <v>0</v>
      </c>
      <c r="R19" s="158">
        <v>0</v>
      </c>
      <c r="S19" s="158">
        <v>0</v>
      </c>
      <c r="T19" s="158">
        <v>0</v>
      </c>
      <c r="U19" s="158">
        <v>0</v>
      </c>
      <c r="V19" s="158">
        <v>0</v>
      </c>
      <c r="W19" s="158">
        <v>0</v>
      </c>
      <c r="X19" s="158">
        <v>0</v>
      </c>
      <c r="Y19" s="158">
        <v>0</v>
      </c>
      <c r="Z19" s="158">
        <v>0</v>
      </c>
      <c r="AA19" s="158">
        <v>0</v>
      </c>
      <c r="AB19" s="158">
        <v>0</v>
      </c>
      <c r="AC19" s="158">
        <v>0</v>
      </c>
      <c r="AD19" s="158">
        <v>0</v>
      </c>
      <c r="AE19" s="158">
        <v>0</v>
      </c>
      <c r="AF19" s="158">
        <v>0</v>
      </c>
      <c r="AG19" s="158">
        <v>0</v>
      </c>
      <c r="AH19" s="158">
        <v>0</v>
      </c>
      <c r="AI19" s="158">
        <v>0</v>
      </c>
      <c r="AJ19" s="158">
        <v>0</v>
      </c>
      <c r="AK19" s="158">
        <v>0</v>
      </c>
      <c r="AL19" s="158">
        <v>0</v>
      </c>
      <c r="AM19" s="158">
        <v>0</v>
      </c>
      <c r="AN19" s="158">
        <v>0</v>
      </c>
      <c r="AO19" s="158">
        <v>0</v>
      </c>
      <c r="AP19" s="158">
        <v>0</v>
      </c>
      <c r="AQ19" s="158">
        <v>0</v>
      </c>
      <c r="AR19" s="158">
        <v>0</v>
      </c>
      <c r="AS19" s="158">
        <v>0</v>
      </c>
      <c r="AT19" s="158">
        <v>0</v>
      </c>
      <c r="AU19" s="158">
        <v>0</v>
      </c>
      <c r="AV19" s="158">
        <v>0</v>
      </c>
      <c r="AW19" s="158">
        <v>0</v>
      </c>
      <c r="AX19" s="158">
        <v>0</v>
      </c>
      <c r="AY19" s="158">
        <v>0</v>
      </c>
      <c r="AZ19" s="158">
        <v>0</v>
      </c>
      <c r="BA19" s="158">
        <v>0</v>
      </c>
      <c r="BB19" s="66">
        <v>0</v>
      </c>
    </row>
    <row r="20" spans="1:54" ht="15" customHeight="1" thickBot="1">
      <c r="A20" t="s" s="212">
        <v>923</v>
      </c>
      <c r="B20" s="276"/>
      <c r="C20" s="282"/>
      <c r="D20" t="s" s="193">
        <v>1179</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08">
        <v>0</v>
      </c>
      <c r="AI20" s="108">
        <v>0</v>
      </c>
      <c r="AJ20" s="108">
        <v>0</v>
      </c>
      <c r="AK20" s="108">
        <v>0</v>
      </c>
      <c r="AL20" s="108">
        <v>0</v>
      </c>
      <c r="AM20" s="108">
        <v>0</v>
      </c>
      <c r="AN20" s="108">
        <v>0</v>
      </c>
      <c r="AO20" s="108">
        <v>0</v>
      </c>
      <c r="AP20" s="108">
        <v>0</v>
      </c>
      <c r="AQ20" s="108">
        <v>0</v>
      </c>
      <c r="AR20" s="108">
        <v>0</v>
      </c>
      <c r="AS20" s="108">
        <v>0</v>
      </c>
      <c r="AT20" s="108">
        <v>0</v>
      </c>
      <c r="AU20" s="108">
        <v>0</v>
      </c>
      <c r="AV20" s="108">
        <v>0</v>
      </c>
      <c r="AW20" s="108">
        <v>0</v>
      </c>
      <c r="AX20" s="108">
        <v>0</v>
      </c>
      <c r="AY20" s="108">
        <v>0</v>
      </c>
      <c r="AZ20" s="108">
        <v>0</v>
      </c>
      <c r="BA20" s="108">
        <v>0</v>
      </c>
      <c r="BB20" s="66">
        <v>0</v>
      </c>
    </row>
    <row r="21" spans="1:54" ht="31" thickBot="1">
      <c r="A21" t="s" s="212">
        <v>653</v>
      </c>
      <c r="B21" s="276"/>
      <c r="C21" s="282"/>
      <c r="D21" t="s" s="193">
        <v>29</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08">
        <v>0</v>
      </c>
      <c r="AI21" s="108">
        <v>0</v>
      </c>
      <c r="AJ21" s="108">
        <v>0</v>
      </c>
      <c r="AK21" s="108">
        <v>0</v>
      </c>
      <c r="AL21" s="108">
        <v>0</v>
      </c>
      <c r="AM21" s="108">
        <v>0</v>
      </c>
      <c r="AN21" s="108">
        <v>0</v>
      </c>
      <c r="AO21" s="108">
        <v>0</v>
      </c>
      <c r="AP21" s="108">
        <v>0</v>
      </c>
      <c r="AQ21" s="108">
        <v>0</v>
      </c>
      <c r="AR21" s="108">
        <v>0</v>
      </c>
      <c r="AS21" s="108">
        <v>0</v>
      </c>
      <c r="AT21" s="108">
        <v>0</v>
      </c>
      <c r="AU21" s="108">
        <v>0</v>
      </c>
      <c r="AV21" s="108">
        <v>0</v>
      </c>
      <c r="AW21" s="108">
        <v>0</v>
      </c>
      <c r="AX21" s="108">
        <v>0</v>
      </c>
      <c r="AY21" s="108">
        <v>0</v>
      </c>
      <c r="AZ21" s="108">
        <v>0</v>
      </c>
      <c r="BA21" s="108">
        <v>0</v>
      </c>
      <c r="BB21" s="66">
        <v>0</v>
      </c>
    </row>
    <row r="22" spans="1:54" ht="15" customHeight="1" thickBot="1">
      <c r="A22" t="s" s="212">
        <v>789</v>
      </c>
      <c r="B22" s="276"/>
      <c r="C22" s="282"/>
      <c r="D22" t="s" s="193">
        <v>1835</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08">
        <v>0</v>
      </c>
      <c r="AI22" s="108">
        <v>0</v>
      </c>
      <c r="AJ22" s="108">
        <v>0</v>
      </c>
      <c r="AK22" s="108">
        <v>0</v>
      </c>
      <c r="AL22" s="108">
        <v>0</v>
      </c>
      <c r="AM22" s="108">
        <v>0</v>
      </c>
      <c r="AN22" s="108">
        <v>0</v>
      </c>
      <c r="AO22" s="108">
        <v>0</v>
      </c>
      <c r="AP22" s="108">
        <v>0</v>
      </c>
      <c r="AQ22" s="108">
        <v>0</v>
      </c>
      <c r="AR22" s="108">
        <v>0</v>
      </c>
      <c r="AS22" s="108">
        <v>0</v>
      </c>
      <c r="AT22" s="108">
        <v>0</v>
      </c>
      <c r="AU22" s="108">
        <v>0</v>
      </c>
      <c r="AV22" s="108">
        <v>0</v>
      </c>
      <c r="AW22" s="108">
        <v>0</v>
      </c>
      <c r="AX22" s="108">
        <v>0</v>
      </c>
      <c r="AY22" s="108">
        <v>0</v>
      </c>
      <c r="AZ22" s="108">
        <v>0</v>
      </c>
      <c r="BA22" s="108">
        <v>0</v>
      </c>
      <c r="BB22" s="66">
        <v>0</v>
      </c>
    </row>
    <row r="23" spans="1:54" ht="16" thickBot="1">
      <c r="A23" t="s" s="212">
        <v>963</v>
      </c>
      <c r="B23" s="276"/>
      <c r="C23" s="283"/>
      <c r="D23" t="s" s="193">
        <v>859</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08">
        <v>0</v>
      </c>
      <c r="AI23" s="108">
        <v>0</v>
      </c>
      <c r="AJ23" s="108">
        <v>0</v>
      </c>
      <c r="AK23" s="108">
        <v>0</v>
      </c>
      <c r="AL23" s="108">
        <v>0</v>
      </c>
      <c r="AM23" s="108">
        <v>0</v>
      </c>
      <c r="AN23" s="108">
        <v>0</v>
      </c>
      <c r="AO23" s="108">
        <v>0</v>
      </c>
      <c r="AP23" s="108">
        <v>0</v>
      </c>
      <c r="AQ23" s="108">
        <v>0</v>
      </c>
      <c r="AR23" s="108">
        <v>0</v>
      </c>
      <c r="AS23" s="108">
        <v>0</v>
      </c>
      <c r="AT23" s="108">
        <v>0</v>
      </c>
      <c r="AU23" s="108">
        <v>0</v>
      </c>
      <c r="AV23" s="108">
        <v>0</v>
      </c>
      <c r="AW23" s="108">
        <v>0</v>
      </c>
      <c r="AX23" s="108">
        <v>0</v>
      </c>
      <c r="AY23" s="108">
        <v>0</v>
      </c>
      <c r="AZ23" s="108">
        <v>0</v>
      </c>
      <c r="BA23" s="108">
        <v>0</v>
      </c>
      <c r="BB23" s="66">
        <v>0</v>
      </c>
    </row>
    <row r="24" spans="1:54" ht="16" thickBot="1">
      <c r="A24" t="s" s="212">
        <v>1198</v>
      </c>
      <c r="B24" s="276"/>
      <c r="C24" t="s" s="287">
        <v>1595</v>
      </c>
      <c r="D24" t="s" s="193">
        <v>886</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08">
        <v>0</v>
      </c>
      <c r="AI24" s="108">
        <v>0</v>
      </c>
      <c r="AJ24" s="108">
        <v>0</v>
      </c>
      <c r="AK24" s="108">
        <v>0</v>
      </c>
      <c r="AL24" s="108">
        <v>0</v>
      </c>
      <c r="AM24" s="108">
        <v>0</v>
      </c>
      <c r="AN24" s="108">
        <v>0</v>
      </c>
      <c r="AO24" s="108">
        <v>0</v>
      </c>
      <c r="AP24" s="108">
        <v>0</v>
      </c>
      <c r="AQ24" s="108">
        <v>0</v>
      </c>
      <c r="AR24" s="108">
        <v>0</v>
      </c>
      <c r="AS24" s="108">
        <v>0</v>
      </c>
      <c r="AT24" s="108">
        <v>0</v>
      </c>
      <c r="AU24" s="108">
        <v>0</v>
      </c>
      <c r="AV24" s="108">
        <v>0</v>
      </c>
      <c r="AW24" s="108">
        <v>0</v>
      </c>
      <c r="AX24" s="108">
        <v>0</v>
      </c>
      <c r="AY24" s="108">
        <v>0</v>
      </c>
      <c r="AZ24" s="108">
        <v>0</v>
      </c>
      <c r="BA24" s="108">
        <v>0</v>
      </c>
      <c r="BB24" s="66">
        <v>0</v>
      </c>
    </row>
    <row r="25" spans="1:54" ht="16" thickBot="1">
      <c r="A25" t="s" s="212">
        <v>499</v>
      </c>
      <c r="B25" s="276"/>
      <c r="C25" s="288"/>
      <c r="D25" t="s" s="193">
        <v>751</v>
      </c>
      <c r="E25" s="108">
        <v>0.2</v>
      </c>
      <c r="F25" s="108">
        <v>0.2</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08">
        <v>0</v>
      </c>
      <c r="AI25" s="108">
        <v>0</v>
      </c>
      <c r="AJ25" s="108">
        <v>0</v>
      </c>
      <c r="AK25" s="108">
        <v>0</v>
      </c>
      <c r="AL25" s="108">
        <v>0</v>
      </c>
      <c r="AM25" s="108">
        <v>0</v>
      </c>
      <c r="AN25" s="108">
        <v>0</v>
      </c>
      <c r="AO25" s="108">
        <v>0</v>
      </c>
      <c r="AP25" s="108">
        <v>0</v>
      </c>
      <c r="AQ25" s="108">
        <v>0</v>
      </c>
      <c r="AR25" s="108">
        <v>0</v>
      </c>
      <c r="AS25" s="108">
        <v>0</v>
      </c>
      <c r="AT25" s="108">
        <v>0</v>
      </c>
      <c r="AU25" s="108">
        <v>0</v>
      </c>
      <c r="AV25" s="108">
        <v>0</v>
      </c>
      <c r="AW25" s="108">
        <v>0</v>
      </c>
      <c r="AX25" s="108">
        <v>0</v>
      </c>
      <c r="AY25" s="108">
        <v>0</v>
      </c>
      <c r="AZ25" s="108">
        <v>0</v>
      </c>
      <c r="BA25" s="108">
        <v>0</v>
      </c>
      <c r="BB25" s="66">
        <v>0</v>
      </c>
    </row>
    <row r="26" spans="1:54">
      <c r="A26" t="s" s="212">
        <v>279</v>
      </c>
      <c r="B26" s="276"/>
      <c r="C26" s="288"/>
      <c r="D26" t="s" s="193">
        <v>1681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08">
        <v>0</v>
      </c>
      <c r="AI26" s="108">
        <v>0</v>
      </c>
      <c r="AJ26" s="108">
        <v>0</v>
      </c>
      <c r="AK26" s="108">
        <v>0</v>
      </c>
      <c r="AL26" s="108">
        <v>0</v>
      </c>
      <c r="AM26" s="108">
        <v>0</v>
      </c>
      <c r="AN26" s="108">
        <v>0</v>
      </c>
      <c r="AO26" s="108">
        <v>0</v>
      </c>
      <c r="AP26" s="108">
        <v>0</v>
      </c>
      <c r="AQ26" s="108">
        <v>0</v>
      </c>
      <c r="AR26" s="108">
        <v>0</v>
      </c>
      <c r="AS26" s="108">
        <v>0</v>
      </c>
      <c r="AT26" s="108">
        <v>0</v>
      </c>
      <c r="AU26" s="108">
        <v>0</v>
      </c>
      <c r="AV26" s="108">
        <v>0</v>
      </c>
      <c r="AW26" s="108">
        <v>0</v>
      </c>
      <c r="AX26" s="108">
        <v>0</v>
      </c>
      <c r="AY26" s="108">
        <v>0</v>
      </c>
      <c r="AZ26" s="108">
        <v>0</v>
      </c>
      <c r="BA26" s="108">
        <v>0</v>
      </c>
      <c r="BB26" s="66">
        <v>0</v>
      </c>
    </row>
    <row r="27" spans="1:54">
      <c r="A27" t="s" s="212">
        <v>928</v>
      </c>
      <c r="B27" s="276"/>
      <c r="C27" s="288"/>
      <c r="D27" t="s" s="193">
        <v>185</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08">
        <v>0</v>
      </c>
      <c r="AI27" s="108">
        <v>0</v>
      </c>
      <c r="AJ27" s="108">
        <v>0</v>
      </c>
      <c r="AK27" s="108">
        <v>0</v>
      </c>
      <c r="AL27" s="108">
        <v>0</v>
      </c>
      <c r="AM27" s="108">
        <v>0</v>
      </c>
      <c r="AN27" s="108">
        <v>0</v>
      </c>
      <c r="AO27" s="108">
        <v>0</v>
      </c>
      <c r="AP27" s="108">
        <v>0</v>
      </c>
      <c r="AQ27" s="108">
        <v>0</v>
      </c>
      <c r="AR27" s="108">
        <v>0</v>
      </c>
      <c r="AS27" s="108">
        <v>0</v>
      </c>
      <c r="AT27" s="108">
        <v>0</v>
      </c>
      <c r="AU27" s="108">
        <v>0</v>
      </c>
      <c r="AV27" s="108">
        <v>0</v>
      </c>
      <c r="AW27" s="108">
        <v>0</v>
      </c>
      <c r="AX27" s="108">
        <v>0</v>
      </c>
      <c r="AY27" s="108">
        <v>0</v>
      </c>
      <c r="AZ27" s="108">
        <v>0</v>
      </c>
      <c r="BA27" s="108">
        <v>0</v>
      </c>
      <c r="BB27" s="130">
        <v>0</v>
      </c>
    </row>
    <row r="28" spans="1:54">
      <c r="A28" t="s" s="212">
        <v>1191</v>
      </c>
      <c r="B28" s="276"/>
      <c r="C28" s="288"/>
      <c r="D28" t="s" s="193">
        <v>1481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08">
        <v>0</v>
      </c>
      <c r="AI28" s="108">
        <v>0</v>
      </c>
      <c r="AJ28" s="108">
        <v>0</v>
      </c>
      <c r="AK28" s="108">
        <v>0</v>
      </c>
      <c r="AL28" s="108">
        <v>0</v>
      </c>
      <c r="AM28" s="108">
        <v>0</v>
      </c>
      <c r="AN28" s="108">
        <v>0</v>
      </c>
      <c r="AO28" s="108">
        <v>0</v>
      </c>
      <c r="AP28" s="108">
        <v>0</v>
      </c>
      <c r="AQ28" s="108">
        <v>0</v>
      </c>
      <c r="AR28" s="108">
        <v>0</v>
      </c>
      <c r="AS28" s="108">
        <v>0</v>
      </c>
      <c r="AT28" s="108">
        <v>0</v>
      </c>
      <c r="AU28" s="108">
        <v>0</v>
      </c>
      <c r="AV28" s="108">
        <v>0</v>
      </c>
      <c r="AW28" s="108">
        <v>0</v>
      </c>
      <c r="AX28" s="108">
        <v>0</v>
      </c>
      <c r="AY28" s="108">
        <v>0</v>
      </c>
      <c r="AZ28" s="108">
        <v>0</v>
      </c>
      <c r="BA28" s="108">
        <v>0</v>
      </c>
      <c r="BB28" s="130">
        <v>0</v>
      </c>
    </row>
    <row r="29" spans="1:54">
      <c r="A29" t="s" s="212">
        <v>1175</v>
      </c>
      <c r="B29" s="276"/>
      <c r="C29" s="289"/>
      <c r="D29" t="s" s="193">
        <v>1783</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08">
        <v>0</v>
      </c>
      <c r="AI29" s="108">
        <v>0</v>
      </c>
      <c r="AJ29" s="108">
        <v>0</v>
      </c>
      <c r="AK29" s="108">
        <v>0</v>
      </c>
      <c r="AL29" s="108">
        <v>0</v>
      </c>
      <c r="AM29" s="108">
        <v>0</v>
      </c>
      <c r="AN29" s="108">
        <v>0</v>
      </c>
      <c r="AO29" s="108">
        <v>0</v>
      </c>
      <c r="AP29" s="108">
        <v>0</v>
      </c>
      <c r="AQ29" s="108">
        <v>0</v>
      </c>
      <c r="AR29" s="108">
        <v>0</v>
      </c>
      <c r="AS29" s="108">
        <v>0</v>
      </c>
      <c r="AT29" s="108">
        <v>0</v>
      </c>
      <c r="AU29" s="108">
        <v>0</v>
      </c>
      <c r="AV29" s="108">
        <v>0</v>
      </c>
      <c r="AW29" s="108">
        <v>0</v>
      </c>
      <c r="AX29" s="108">
        <v>0</v>
      </c>
      <c r="AY29" s="108">
        <v>0</v>
      </c>
      <c r="AZ29" s="108">
        <v>0</v>
      </c>
      <c r="BA29" s="108">
        <v>0</v>
      </c>
      <c r="BB29" s="130">
        <v>0</v>
      </c>
    </row>
    <row r="30" spans="1:54">
      <c r="A30" t="s" s="212">
        <v>967</v>
      </c>
      <c r="B30" s="276"/>
      <c r="C30" t="s" s="284">
        <v>917</v>
      </c>
      <c r="D30" t="s" s="193">
        <v>43</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08">
        <v>0</v>
      </c>
      <c r="AI30" s="108">
        <v>0</v>
      </c>
      <c r="AJ30" s="108">
        <v>0</v>
      </c>
      <c r="AK30" s="108">
        <v>0</v>
      </c>
      <c r="AL30" s="108">
        <v>0</v>
      </c>
      <c r="AM30" s="108">
        <v>0</v>
      </c>
      <c r="AN30" s="108">
        <v>0</v>
      </c>
      <c r="AO30" s="108">
        <v>0</v>
      </c>
      <c r="AP30" s="108">
        <v>0</v>
      </c>
      <c r="AQ30" s="108">
        <v>0</v>
      </c>
      <c r="AR30" s="108">
        <v>0</v>
      </c>
      <c r="AS30" s="108">
        <v>0</v>
      </c>
      <c r="AT30" s="108">
        <v>0</v>
      </c>
      <c r="AU30" s="108">
        <v>0</v>
      </c>
      <c r="AV30" s="108">
        <v>0</v>
      </c>
      <c r="AW30" s="108">
        <v>0</v>
      </c>
      <c r="AX30" s="108">
        <v>0</v>
      </c>
      <c r="AY30" s="108">
        <v>0</v>
      </c>
      <c r="AZ30" s="108">
        <v>0</v>
      </c>
      <c r="BA30" s="108">
        <v>0</v>
      </c>
      <c r="BB30" s="130">
        <v>0</v>
      </c>
    </row>
    <row r="31" spans="1:54">
      <c r="A31" t="s" s="212">
        <v>544</v>
      </c>
      <c r="B31" s="276"/>
      <c r="C31" s="285"/>
      <c r="D31" t="s" s="193">
        <v>302</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08">
        <v>0</v>
      </c>
      <c r="AI31" s="108">
        <v>0</v>
      </c>
      <c r="AJ31" s="108">
        <v>0</v>
      </c>
      <c r="AK31" s="108">
        <v>0</v>
      </c>
      <c r="AL31" s="108">
        <v>0</v>
      </c>
      <c r="AM31" s="108">
        <v>0</v>
      </c>
      <c r="AN31" s="108">
        <v>0</v>
      </c>
      <c r="AO31" s="108">
        <v>0</v>
      </c>
      <c r="AP31" s="108">
        <v>0</v>
      </c>
      <c r="AQ31" s="108">
        <v>0</v>
      </c>
      <c r="AR31" s="108">
        <v>0</v>
      </c>
      <c r="AS31" s="108">
        <v>0</v>
      </c>
      <c r="AT31" s="108">
        <v>0</v>
      </c>
      <c r="AU31" s="108">
        <v>0</v>
      </c>
      <c r="AV31" s="108">
        <v>0</v>
      </c>
      <c r="AW31" s="108">
        <v>0</v>
      </c>
      <c r="AX31" s="108">
        <v>0</v>
      </c>
      <c r="AY31" s="108">
        <v>0</v>
      </c>
      <c r="AZ31" s="108">
        <v>0</v>
      </c>
      <c r="BA31" s="108">
        <v>0</v>
      </c>
      <c r="BB31" s="130">
        <v>0</v>
      </c>
    </row>
    <row r="32" spans="1:54">
      <c r="A32" t="s" s="212">
        <v>99</v>
      </c>
      <c r="B32" s="276"/>
      <c r="C32" s="285"/>
      <c r="D32" t="s" s="193">
        <v>1701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08">
        <v>0</v>
      </c>
      <c r="AI32" s="108">
        <v>0</v>
      </c>
      <c r="AJ32" s="108">
        <v>0</v>
      </c>
      <c r="AK32" s="108">
        <v>0</v>
      </c>
      <c r="AL32" s="108">
        <v>0</v>
      </c>
      <c r="AM32" s="108">
        <v>0</v>
      </c>
      <c r="AN32" s="108">
        <v>0</v>
      </c>
      <c r="AO32" s="108">
        <v>0</v>
      </c>
      <c r="AP32" s="108">
        <v>0</v>
      </c>
      <c r="AQ32" s="108">
        <v>0</v>
      </c>
      <c r="AR32" s="108">
        <v>0</v>
      </c>
      <c r="AS32" s="108">
        <v>0</v>
      </c>
      <c r="AT32" s="108">
        <v>0</v>
      </c>
      <c r="AU32" s="108">
        <v>0</v>
      </c>
      <c r="AV32" s="108">
        <v>0</v>
      </c>
      <c r="AW32" s="108">
        <v>0</v>
      </c>
      <c r="AX32" s="108">
        <v>0</v>
      </c>
      <c r="AY32" s="108">
        <v>0</v>
      </c>
      <c r="AZ32" s="108">
        <v>0</v>
      </c>
      <c r="BA32" s="108">
        <v>0</v>
      </c>
      <c r="BB32" s="130">
        <v>0</v>
      </c>
    </row>
    <row r="33" spans="1:54">
      <c r="A33" t="s" s="212">
        <v>319</v>
      </c>
      <c r="B33" s="276"/>
      <c r="C33" s="285"/>
      <c r="D33" t="s" s="193">
        <v>1176</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08">
        <v>0</v>
      </c>
      <c r="AI33" s="108">
        <v>0</v>
      </c>
      <c r="AJ33" s="108">
        <v>0</v>
      </c>
      <c r="AK33" s="108">
        <v>0</v>
      </c>
      <c r="AL33" s="108">
        <v>0</v>
      </c>
      <c r="AM33" s="108">
        <v>0</v>
      </c>
      <c r="AN33" s="108">
        <v>0</v>
      </c>
      <c r="AO33" s="108">
        <v>0</v>
      </c>
      <c r="AP33" s="108">
        <v>0</v>
      </c>
      <c r="AQ33" s="108">
        <v>0</v>
      </c>
      <c r="AR33" s="108">
        <v>0</v>
      </c>
      <c r="AS33" s="108">
        <v>0</v>
      </c>
      <c r="AT33" s="108">
        <v>0</v>
      </c>
      <c r="AU33" s="108">
        <v>0</v>
      </c>
      <c r="AV33" s="108">
        <v>0</v>
      </c>
      <c r="AW33" s="108">
        <v>0</v>
      </c>
      <c r="AX33" s="108">
        <v>0</v>
      </c>
      <c r="AY33" s="108">
        <v>0</v>
      </c>
      <c r="AZ33" s="108">
        <v>0</v>
      </c>
      <c r="BA33" s="108">
        <v>0</v>
      </c>
      <c r="BB33" s="130">
        <v>0</v>
      </c>
    </row>
    <row r="34" spans="1:54">
      <c r="A34" t="s" s="212">
        <v>450</v>
      </c>
      <c r="B34" s="276"/>
      <c r="C34" s="285"/>
      <c r="D34" t="s" s="193">
        <v>1961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08">
        <v>0</v>
      </c>
      <c r="AI34" s="108">
        <v>0</v>
      </c>
      <c r="AJ34" s="108">
        <v>0</v>
      </c>
      <c r="AK34" s="108">
        <v>0</v>
      </c>
      <c r="AL34" s="108">
        <v>0</v>
      </c>
      <c r="AM34" s="108">
        <v>0</v>
      </c>
      <c r="AN34" s="108">
        <v>0</v>
      </c>
      <c r="AO34" s="108">
        <v>0</v>
      </c>
      <c r="AP34" s="108">
        <v>0</v>
      </c>
      <c r="AQ34" s="108">
        <v>0</v>
      </c>
      <c r="AR34" s="108">
        <v>0</v>
      </c>
      <c r="AS34" s="108">
        <v>0</v>
      </c>
      <c r="AT34" s="108">
        <v>0</v>
      </c>
      <c r="AU34" s="108">
        <v>0</v>
      </c>
      <c r="AV34" s="108">
        <v>0</v>
      </c>
      <c r="AW34" s="108">
        <v>0</v>
      </c>
      <c r="AX34" s="108">
        <v>0</v>
      </c>
      <c r="AY34" s="108">
        <v>0</v>
      </c>
      <c r="AZ34" s="108">
        <v>0</v>
      </c>
      <c r="BA34" s="108">
        <v>0</v>
      </c>
      <c r="BB34" s="130">
        <v>0</v>
      </c>
    </row>
    <row r="35" spans="1:54">
      <c r="A35" t="s" s="212">
        <v>1793</v>
      </c>
      <c r="B35" s="276"/>
      <c r="C35" s="285"/>
      <c r="D35" t="s" s="193">
        <v>1962</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08">
        <v>0</v>
      </c>
      <c r="AI35" s="108">
        <v>0</v>
      </c>
      <c r="AJ35" s="108">
        <v>0</v>
      </c>
      <c r="AK35" s="108">
        <v>0</v>
      </c>
      <c r="AL35" s="108">
        <v>0</v>
      </c>
      <c r="AM35" s="108">
        <v>0</v>
      </c>
      <c r="AN35" s="108">
        <v>0</v>
      </c>
      <c r="AO35" s="108">
        <v>0</v>
      </c>
      <c r="AP35" s="108">
        <v>0</v>
      </c>
      <c r="AQ35" s="108">
        <v>0</v>
      </c>
      <c r="AR35" s="108">
        <v>0</v>
      </c>
      <c r="AS35" s="108">
        <v>0</v>
      </c>
      <c r="AT35" s="108">
        <v>0</v>
      </c>
      <c r="AU35" s="108">
        <v>0</v>
      </c>
      <c r="AV35" s="108">
        <v>0</v>
      </c>
      <c r="AW35" s="108">
        <v>0</v>
      </c>
      <c r="AX35" s="108">
        <v>0</v>
      </c>
      <c r="AY35" s="108">
        <v>0</v>
      </c>
      <c r="AZ35" s="108">
        <v>0</v>
      </c>
      <c r="BA35" s="108">
        <v>0</v>
      </c>
      <c r="BB35" s="130">
        <v>0</v>
      </c>
    </row>
    <row r="36" spans="1:54">
      <c r="A36" t="s" s="212">
        <v>355</v>
      </c>
      <c r="B36" s="276"/>
      <c r="C36" s="285"/>
      <c r="D36" t="s" s="193">
        <v>1584</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08">
        <v>0</v>
      </c>
      <c r="AI36" s="108">
        <v>0</v>
      </c>
      <c r="AJ36" s="108">
        <v>0</v>
      </c>
      <c r="AK36" s="108">
        <v>0</v>
      </c>
      <c r="AL36" s="108">
        <v>0</v>
      </c>
      <c r="AM36" s="108">
        <v>0</v>
      </c>
      <c r="AN36" s="108">
        <v>0</v>
      </c>
      <c r="AO36" s="108">
        <v>0</v>
      </c>
      <c r="AP36" s="108">
        <v>0</v>
      </c>
      <c r="AQ36" s="108">
        <v>0</v>
      </c>
      <c r="AR36" s="108">
        <v>0</v>
      </c>
      <c r="AS36" s="108">
        <v>0</v>
      </c>
      <c r="AT36" s="108">
        <v>0</v>
      </c>
      <c r="AU36" s="108">
        <v>0</v>
      </c>
      <c r="AV36" s="108">
        <v>0</v>
      </c>
      <c r="AW36" s="108">
        <v>0</v>
      </c>
      <c r="AX36" s="108">
        <v>0</v>
      </c>
      <c r="AY36" s="108">
        <v>0</v>
      </c>
      <c r="AZ36" s="108">
        <v>0</v>
      </c>
      <c r="BA36" s="108">
        <v>0</v>
      </c>
      <c r="BB36" s="130">
        <v>0</v>
      </c>
    </row>
    <row r="37" spans="1:54">
      <c r="A37" t="s" s="212">
        <v>836</v>
      </c>
      <c r="B37" s="276"/>
      <c r="C37" s="285"/>
      <c r="D37" t="s" s="193">
        <v>150</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08">
        <v>0</v>
      </c>
      <c r="AI37" s="108">
        <v>0</v>
      </c>
      <c r="AJ37" s="108">
        <v>0</v>
      </c>
      <c r="AK37" s="108">
        <v>0</v>
      </c>
      <c r="AL37" s="108">
        <v>0</v>
      </c>
      <c r="AM37" s="108">
        <v>0</v>
      </c>
      <c r="AN37" s="108">
        <v>0</v>
      </c>
      <c r="AO37" s="108">
        <v>0</v>
      </c>
      <c r="AP37" s="108">
        <v>0</v>
      </c>
      <c r="AQ37" s="108">
        <v>0</v>
      </c>
      <c r="AR37" s="108">
        <v>0</v>
      </c>
      <c r="AS37" s="108">
        <v>0</v>
      </c>
      <c r="AT37" s="108">
        <v>0</v>
      </c>
      <c r="AU37" s="108">
        <v>0</v>
      </c>
      <c r="AV37" s="108">
        <v>0</v>
      </c>
      <c r="AW37" s="108">
        <v>0</v>
      </c>
      <c r="AX37" s="108">
        <v>0</v>
      </c>
      <c r="AY37" s="108">
        <v>0</v>
      </c>
      <c r="AZ37" s="108">
        <v>0</v>
      </c>
      <c r="BA37" s="108">
        <v>0</v>
      </c>
      <c r="BB37" s="130">
        <v>0</v>
      </c>
    </row>
    <row r="38" spans="1:54">
      <c r="A38" t="s" s="212">
        <v>500</v>
      </c>
      <c r="B38" s="276"/>
      <c r="C38" s="285"/>
      <c r="D38" t="s" s="193">
        <v>666</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08">
        <v>0</v>
      </c>
      <c r="AI38" s="108">
        <v>0</v>
      </c>
      <c r="AJ38" s="108">
        <v>0</v>
      </c>
      <c r="AK38" s="108">
        <v>0</v>
      </c>
      <c r="AL38" s="108">
        <v>0</v>
      </c>
      <c r="AM38" s="108">
        <v>0</v>
      </c>
      <c r="AN38" s="108">
        <v>0</v>
      </c>
      <c r="AO38" s="108">
        <v>0</v>
      </c>
      <c r="AP38" s="108">
        <v>0</v>
      </c>
      <c r="AQ38" s="108">
        <v>0</v>
      </c>
      <c r="AR38" s="108">
        <v>0</v>
      </c>
      <c r="AS38" s="108">
        <v>0</v>
      </c>
      <c r="AT38" s="108">
        <v>0</v>
      </c>
      <c r="AU38" s="108">
        <v>0</v>
      </c>
      <c r="AV38" s="108">
        <v>0</v>
      </c>
      <c r="AW38" s="108">
        <v>0</v>
      </c>
      <c r="AX38" s="108">
        <v>0</v>
      </c>
      <c r="AY38" s="108">
        <v>0</v>
      </c>
      <c r="AZ38" s="108">
        <v>0</v>
      </c>
      <c r="BA38" s="108">
        <v>0</v>
      </c>
      <c r="BB38" s="130">
        <v>0</v>
      </c>
    </row>
    <row r="39" spans="1:54">
      <c r="A39" t="s" s="212">
        <v>254</v>
      </c>
      <c r="B39" s="276"/>
      <c r="C39" s="285"/>
      <c r="D39" t="s" s="193">
        <v>1687</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08">
        <v>0</v>
      </c>
      <c r="AI39" s="108">
        <v>0</v>
      </c>
      <c r="AJ39" s="108">
        <v>0</v>
      </c>
      <c r="AK39" s="108">
        <v>0</v>
      </c>
      <c r="AL39" s="108">
        <v>0</v>
      </c>
      <c r="AM39" s="108">
        <v>0</v>
      </c>
      <c r="AN39" s="108">
        <v>0</v>
      </c>
      <c r="AO39" s="108">
        <v>0</v>
      </c>
      <c r="AP39" s="108">
        <v>0</v>
      </c>
      <c r="AQ39" s="108">
        <v>0</v>
      </c>
      <c r="AR39" s="108">
        <v>0</v>
      </c>
      <c r="AS39" s="108">
        <v>0</v>
      </c>
      <c r="AT39" s="108">
        <v>0</v>
      </c>
      <c r="AU39" s="108">
        <v>0</v>
      </c>
      <c r="AV39" s="108">
        <v>0</v>
      </c>
      <c r="AW39" s="108">
        <v>0</v>
      </c>
      <c r="AX39" s="108">
        <v>0</v>
      </c>
      <c r="AY39" s="108">
        <v>0</v>
      </c>
      <c r="AZ39" s="108">
        <v>0</v>
      </c>
      <c r="BA39" s="108">
        <v>0</v>
      </c>
      <c r="BB39" s="130">
        <v>0</v>
      </c>
    </row>
    <row r="40" spans="1:54">
      <c r="A40" t="s" s="212">
        <v>755</v>
      </c>
      <c r="B40" s="276"/>
      <c r="C40" s="285"/>
      <c r="D40" t="s" s="193">
        <v>394</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08">
        <v>0</v>
      </c>
      <c r="AI40" s="108">
        <v>0</v>
      </c>
      <c r="AJ40" s="108">
        <v>0</v>
      </c>
      <c r="AK40" s="108">
        <v>0</v>
      </c>
      <c r="AL40" s="108">
        <v>0</v>
      </c>
      <c r="AM40" s="108">
        <v>0</v>
      </c>
      <c r="AN40" s="108">
        <v>0</v>
      </c>
      <c r="AO40" s="108">
        <v>0</v>
      </c>
      <c r="AP40" s="108">
        <v>0</v>
      </c>
      <c r="AQ40" s="108">
        <v>0</v>
      </c>
      <c r="AR40" s="108">
        <v>0</v>
      </c>
      <c r="AS40" s="108">
        <v>0</v>
      </c>
      <c r="AT40" s="108">
        <v>0</v>
      </c>
      <c r="AU40" s="108">
        <v>0</v>
      </c>
      <c r="AV40" s="108">
        <v>0</v>
      </c>
      <c r="AW40" s="108">
        <v>0</v>
      </c>
      <c r="AX40" s="108">
        <v>0</v>
      </c>
      <c r="AY40" s="108">
        <v>0</v>
      </c>
      <c r="AZ40" s="108">
        <v>0</v>
      </c>
      <c r="BA40" s="108">
        <v>0</v>
      </c>
      <c r="BB40" s="108">
        <v>0</v>
      </c>
    </row>
    <row r="41" spans="1:54">
      <c r="A41" t="s" s="212">
        <v>147</v>
      </c>
      <c r="B41" s="276"/>
      <c r="C41" s="285"/>
      <c r="D41" t="s" s="193">
        <v>228</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08">
        <v>0</v>
      </c>
      <c r="AI41" s="108">
        <v>0</v>
      </c>
      <c r="AJ41" s="108">
        <v>0</v>
      </c>
      <c r="AK41" s="108">
        <v>0</v>
      </c>
      <c r="AL41" s="108">
        <v>0</v>
      </c>
      <c r="AM41" s="108">
        <v>0</v>
      </c>
      <c r="AN41" s="108">
        <v>0</v>
      </c>
      <c r="AO41" s="108">
        <v>0</v>
      </c>
      <c r="AP41" s="108">
        <v>0</v>
      </c>
      <c r="AQ41" s="108">
        <v>0</v>
      </c>
      <c r="AR41" s="108">
        <v>0</v>
      </c>
      <c r="AS41" s="108">
        <v>0</v>
      </c>
      <c r="AT41" s="108">
        <v>0</v>
      </c>
      <c r="AU41" s="108">
        <v>0</v>
      </c>
      <c r="AV41" s="108">
        <v>0</v>
      </c>
      <c r="AW41" s="108">
        <v>0</v>
      </c>
      <c r="AX41" s="108">
        <v>0</v>
      </c>
      <c r="AY41" s="108">
        <v>0</v>
      </c>
      <c r="AZ41" s="108">
        <v>0</v>
      </c>
      <c r="BA41" s="108">
        <v>0</v>
      </c>
      <c r="BB41" s="108">
        <v>0</v>
      </c>
    </row>
    <row r="42" spans="1:54">
      <c r="A42" t="s" s="212">
        <v>418</v>
      </c>
      <c r="B42" s="276"/>
      <c r="C42" s="286"/>
      <c r="D42" t="s" s="193">
        <v>1813</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08">
        <v>0</v>
      </c>
      <c r="AI42" s="108">
        <v>0</v>
      </c>
      <c r="AJ42" s="108">
        <v>0</v>
      </c>
      <c r="AK42" s="108">
        <v>0</v>
      </c>
      <c r="AL42" s="108">
        <v>0</v>
      </c>
      <c r="AM42" s="108">
        <v>0</v>
      </c>
      <c r="AN42" s="108">
        <v>0</v>
      </c>
      <c r="AO42" s="108">
        <v>0</v>
      </c>
      <c r="AP42" s="108">
        <v>0</v>
      </c>
      <c r="AQ42" s="108">
        <v>0</v>
      </c>
      <c r="AR42" s="108">
        <v>0</v>
      </c>
      <c r="AS42" s="108">
        <v>0</v>
      </c>
      <c r="AT42" s="108">
        <v>0</v>
      </c>
      <c r="AU42" s="108">
        <v>0</v>
      </c>
      <c r="AV42" s="108">
        <v>0</v>
      </c>
      <c r="AW42" s="108">
        <v>0</v>
      </c>
      <c r="AX42" s="108">
        <v>0</v>
      </c>
      <c r="AY42" s="108">
        <v>0</v>
      </c>
      <c r="AZ42" s="108">
        <v>0</v>
      </c>
      <c r="BA42" s="108">
        <v>0</v>
      </c>
      <c r="BB42" s="130">
        <v>0</v>
      </c>
    </row>
    <row r="43" spans="1:54">
      <c r="A43" t="s" s="212">
        <v>766</v>
      </c>
      <c r="B43" s="276"/>
      <c r="C43" t="s" s="287">
        <v>1012</v>
      </c>
      <c r="D43" t="s" s="193">
        <v>920</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08">
        <v>0</v>
      </c>
      <c r="AI43" s="108">
        <v>0</v>
      </c>
      <c r="AJ43" s="108">
        <v>0</v>
      </c>
      <c r="AK43" s="108">
        <v>0</v>
      </c>
      <c r="AL43" s="108">
        <v>0</v>
      </c>
      <c r="AM43" s="108">
        <v>0</v>
      </c>
      <c r="AN43" s="108">
        <v>0</v>
      </c>
      <c r="AO43" s="108">
        <v>0</v>
      </c>
      <c r="AP43" s="108">
        <v>0</v>
      </c>
      <c r="AQ43" s="108">
        <v>0</v>
      </c>
      <c r="AR43" s="108">
        <v>0</v>
      </c>
      <c r="AS43" s="108">
        <v>0</v>
      </c>
      <c r="AT43" s="108">
        <v>0</v>
      </c>
      <c r="AU43" s="108">
        <v>0</v>
      </c>
      <c r="AV43" s="108">
        <v>0</v>
      </c>
      <c r="AW43" s="108">
        <v>0</v>
      </c>
      <c r="AX43" s="108">
        <v>0</v>
      </c>
      <c r="AY43" s="108">
        <v>0</v>
      </c>
      <c r="AZ43" s="108">
        <v>0</v>
      </c>
      <c r="BA43" s="108">
        <v>0</v>
      </c>
      <c r="BB43" s="130">
        <v>0</v>
      </c>
    </row>
    <row r="44" spans="1:54">
      <c r="A44" t="s" s="212">
        <v>273</v>
      </c>
      <c r="B44" s="276"/>
      <c r="C44" s="289"/>
      <c r="D44" t="s" s="193">
        <v>1180</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08">
        <v>0</v>
      </c>
      <c r="AI44" s="108">
        <v>0</v>
      </c>
      <c r="AJ44" s="108">
        <v>0</v>
      </c>
      <c r="AK44" s="108">
        <v>0</v>
      </c>
      <c r="AL44" s="108">
        <v>0</v>
      </c>
      <c r="AM44" s="108">
        <v>0</v>
      </c>
      <c r="AN44" s="108">
        <v>0</v>
      </c>
      <c r="AO44" s="108">
        <v>0</v>
      </c>
      <c r="AP44" s="108">
        <v>0</v>
      </c>
      <c r="AQ44" s="108">
        <v>0</v>
      </c>
      <c r="AR44" s="108">
        <v>0</v>
      </c>
      <c r="AS44" s="108">
        <v>0</v>
      </c>
      <c r="AT44" s="108">
        <v>0</v>
      </c>
      <c r="AU44" s="108">
        <v>0</v>
      </c>
      <c r="AV44" s="108">
        <v>0</v>
      </c>
      <c r="AW44" s="108">
        <v>0</v>
      </c>
      <c r="AX44" s="108">
        <v>0</v>
      </c>
      <c r="AY44" s="108">
        <v>0</v>
      </c>
      <c r="AZ44" s="108">
        <v>0</v>
      </c>
      <c r="BA44" s="108">
        <v>0</v>
      </c>
      <c r="BB44" s="130">
        <v>0</v>
      </c>
    </row>
    <row r="45" spans="1:54">
      <c r="A45" t="s" s="212">
        <v>879</v>
      </c>
      <c r="B45" s="276"/>
      <c r="C45" t="s" s="287">
        <v>538</v>
      </c>
      <c r="D45" t="s" s="193">
        <v>1488</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08">
        <v>0</v>
      </c>
      <c r="AI45" s="108">
        <v>0</v>
      </c>
      <c r="AJ45" s="108">
        <v>0</v>
      </c>
      <c r="AK45" s="108">
        <v>0</v>
      </c>
      <c r="AL45" s="108">
        <v>0</v>
      </c>
      <c r="AM45" s="108">
        <v>0</v>
      </c>
      <c r="AN45" s="108">
        <v>0</v>
      </c>
      <c r="AO45" s="108">
        <v>0</v>
      </c>
      <c r="AP45" s="108">
        <v>0</v>
      </c>
      <c r="AQ45" s="108">
        <v>0</v>
      </c>
      <c r="AR45" s="108">
        <v>0</v>
      </c>
      <c r="AS45" s="108">
        <v>0</v>
      </c>
      <c r="AT45" s="108">
        <v>0</v>
      </c>
      <c r="AU45" s="108">
        <v>0</v>
      </c>
      <c r="AV45" s="108">
        <v>0</v>
      </c>
      <c r="AW45" s="108">
        <v>0</v>
      </c>
      <c r="AX45" s="108">
        <v>0</v>
      </c>
      <c r="AY45" s="108">
        <v>0</v>
      </c>
      <c r="AZ45" s="108">
        <v>0</v>
      </c>
      <c r="BA45" s="108">
        <v>0</v>
      </c>
      <c r="BB45" s="130">
        <v>0</v>
      </c>
    </row>
    <row r="46" spans="1:54">
      <c r="A46" t="s" s="212">
        <v>31</v>
      </c>
      <c r="B46" s="276"/>
      <c r="C46" s="289"/>
      <c r="D46" t="s" s="193">
        <v>862</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08">
        <v>0</v>
      </c>
      <c r="AI46" s="108">
        <v>0</v>
      </c>
      <c r="AJ46" s="108">
        <v>0</v>
      </c>
      <c r="AK46" s="108">
        <v>0</v>
      </c>
      <c r="AL46" s="108">
        <v>0</v>
      </c>
      <c r="AM46" s="108">
        <v>0</v>
      </c>
      <c r="AN46" s="108">
        <v>0</v>
      </c>
      <c r="AO46" s="108">
        <v>0</v>
      </c>
      <c r="AP46" s="108">
        <v>0</v>
      </c>
      <c r="AQ46" s="108">
        <v>0</v>
      </c>
      <c r="AR46" s="108">
        <v>0</v>
      </c>
      <c r="AS46" s="108">
        <v>0</v>
      </c>
      <c r="AT46" s="108">
        <v>0</v>
      </c>
      <c r="AU46" s="108">
        <v>0</v>
      </c>
      <c r="AV46" s="108">
        <v>0</v>
      </c>
      <c r="AW46" s="108">
        <v>0</v>
      </c>
      <c r="AX46" s="108">
        <v>0</v>
      </c>
      <c r="AY46" s="108">
        <v>0</v>
      </c>
      <c r="AZ46" s="108">
        <v>0</v>
      </c>
      <c r="BA46" s="108">
        <v>0</v>
      </c>
      <c r="BB46" s="130">
        <v>0</v>
      </c>
    </row>
    <row r="47" spans="1:54">
      <c r="A47" t="s" s="212">
        <v>1343</v>
      </c>
      <c r="B47" s="276"/>
      <c r="C47" t="s" s="287">
        <v>1791</v>
      </c>
      <c r="D47" t="s" s="193">
        <v>1237</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08">
        <v>0</v>
      </c>
      <c r="AI47" s="108">
        <v>0</v>
      </c>
      <c r="AJ47" s="108">
        <v>0</v>
      </c>
      <c r="AK47" s="108">
        <v>0</v>
      </c>
      <c r="AL47" s="108">
        <v>0</v>
      </c>
      <c r="AM47" s="108">
        <v>0</v>
      </c>
      <c r="AN47" s="108">
        <v>0</v>
      </c>
      <c r="AO47" s="108">
        <v>0</v>
      </c>
      <c r="AP47" s="108">
        <v>0</v>
      </c>
      <c r="AQ47" s="108">
        <v>0</v>
      </c>
      <c r="AR47" s="108">
        <v>0</v>
      </c>
      <c r="AS47" s="108">
        <v>0</v>
      </c>
      <c r="AT47" s="108">
        <v>0</v>
      </c>
      <c r="AU47" s="108">
        <v>0</v>
      </c>
      <c r="AV47" s="108">
        <v>0</v>
      </c>
      <c r="AW47" s="108">
        <v>0</v>
      </c>
      <c r="AX47" s="108">
        <v>0</v>
      </c>
      <c r="AY47" s="108">
        <v>0</v>
      </c>
      <c r="AZ47" s="108">
        <v>0</v>
      </c>
      <c r="BA47" s="108">
        <v>0</v>
      </c>
      <c r="BB47" s="130">
        <v>0</v>
      </c>
    </row>
    <row r="48" spans="1:54" ht="16" thickBot="1">
      <c r="A48" t="s" s="212">
        <v>1214</v>
      </c>
      <c r="B48" s="276"/>
      <c r="C48" s="289"/>
      <c r="D48" t="s" s="193">
        <v>1005</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08">
        <v>0</v>
      </c>
      <c r="AI48" s="108">
        <v>0</v>
      </c>
      <c r="AJ48" s="108">
        <v>0</v>
      </c>
      <c r="AK48" s="108">
        <v>0</v>
      </c>
      <c r="AL48" s="108">
        <v>0</v>
      </c>
      <c r="AM48" s="108">
        <v>0</v>
      </c>
      <c r="AN48" s="108">
        <v>0</v>
      </c>
      <c r="AO48" s="108">
        <v>0</v>
      </c>
      <c r="AP48" s="108">
        <v>0</v>
      </c>
      <c r="AQ48" s="108">
        <v>0</v>
      </c>
      <c r="AR48" s="108">
        <v>0</v>
      </c>
      <c r="AS48" s="108">
        <v>0</v>
      </c>
      <c r="AT48" s="108">
        <v>0</v>
      </c>
      <c r="AU48" s="108">
        <v>0</v>
      </c>
      <c r="AV48" s="108">
        <v>0</v>
      </c>
      <c r="AW48" s="108">
        <v>0</v>
      </c>
      <c r="AX48" s="108">
        <v>0</v>
      </c>
      <c r="AY48" s="108">
        <v>0</v>
      </c>
      <c r="AZ48" s="108">
        <v>0</v>
      </c>
      <c r="BA48" s="108">
        <v>0</v>
      </c>
      <c r="BB48" s="224">
        <v>0</v>
      </c>
    </row>
    <row r="49" spans="1:256" ht="16" thickBot="1">
      <c r="A49" t="s" s="3">
        <v>1717</v>
      </c>
      <c r="B49" s="111"/>
      <c r="C49" s="167"/>
      <c r="D49" s="13"/>
      <c r="E49" s="204"/>
      <c r="F49" s="204"/>
      <c r="G49" s="204"/>
      <c r="H49" s="204"/>
      <c r="I49" s="204"/>
      <c r="J49" s="204"/>
      <c r="K49" s="204"/>
      <c r="L49" s="204"/>
      <c r="M49" s="204"/>
      <c r="N49" s="204"/>
      <c r="O49" s="204"/>
      <c r="P49" s="204"/>
      <c r="Q49" s="204"/>
      <c r="R49" s="204"/>
      <c r="S49" s="204"/>
      <c r="T49" s="204"/>
      <c r="U49" s="204"/>
      <c r="V49" s="204"/>
      <c r="W49" s="204"/>
      <c r="X49" s="204"/>
      <c r="Y49" s="204"/>
      <c r="Z49" s="204"/>
      <c r="AA49" s="204"/>
      <c r="AB49" s="204"/>
      <c r="AC49" s="204"/>
      <c r="AD49" s="204"/>
      <c r="AE49" s="204"/>
      <c r="AF49" s="204"/>
      <c r="AG49" s="204"/>
      <c r="AH49" s="204"/>
      <c r="AI49" s="204"/>
      <c r="AJ49" s="204"/>
      <c r="AK49" s="204"/>
      <c r="AL49" s="204"/>
      <c r="AM49" s="204"/>
      <c r="AN49" s="204"/>
      <c r="AO49" s="204"/>
      <c r="AP49" s="204"/>
      <c r="AQ49" s="204"/>
      <c r="AR49" s="204"/>
      <c r="AS49" s="204"/>
      <c r="AT49" s="204"/>
      <c r="AU49" s="204"/>
      <c r="AV49" s="204"/>
      <c r="AW49" s="204"/>
      <c r="AX49" s="204"/>
      <c r="AY49" s="204"/>
      <c r="AZ49" s="204"/>
      <c r="BA49" s="204"/>
      <c r="BB49" s="180"/>
    </row>
    <row r="50" spans="1:256" s="155" customFormat="1" ht="15.75" customHeight="1" thickBot="1">
      <c r="A50" t="s" s="212">
        <v>974</v>
      </c>
      <c r="B50" t="s" s="293">
        <v>542</v>
      </c>
      <c r="C50" t="s" s="234">
        <v>1963</v>
      </c>
      <c r="D50" s="267"/>
      <c r="E50" s="267"/>
      <c r="F50" s="267"/>
      <c r="G50" s="267"/>
      <c r="H50" s="267"/>
      <c r="I50" s="267"/>
      <c r="J50" s="267"/>
      <c r="K50" s="267"/>
      <c r="L50" s="267"/>
      <c r="M50" s="267"/>
      <c r="N50" s="267"/>
      <c r="O50" s="267"/>
      <c r="P50" s="267"/>
      <c r="Q50" s="267"/>
      <c r="R50" s="267"/>
      <c r="S50" s="267"/>
      <c r="T50" s="267"/>
      <c r="U50" s="267"/>
      <c r="V50" s="267"/>
      <c r="W50" s="267"/>
      <c r="X50" s="267"/>
      <c r="Y50" s="267"/>
      <c r="Z50" s="267"/>
      <c r="AA50" s="267"/>
      <c r="AB50" s="267"/>
      <c r="AC50" s="267"/>
      <c r="AD50" s="267"/>
      <c r="AE50" s="267"/>
      <c r="AF50" s="267"/>
      <c r="AG50" s="267"/>
      <c r="AH50" s="267"/>
      <c r="AI50" s="267"/>
      <c r="AJ50" s="267"/>
      <c r="AK50" s="267"/>
      <c r="AL50" s="267"/>
      <c r="AM50" s="267"/>
      <c r="AN50" s="267"/>
      <c r="AO50" s="267"/>
      <c r="AP50" s="267"/>
      <c r="AQ50" s="267"/>
      <c r="AR50" s="267"/>
      <c r="AS50" s="267"/>
      <c r="AT50" s="267"/>
      <c r="AU50" s="267"/>
      <c r="AV50" s="267"/>
      <c r="AW50" s="267"/>
      <c r="AX50" s="267"/>
      <c r="AY50" s="267"/>
      <c r="AZ50" s="267"/>
      <c r="BA50" s="267"/>
      <c r="BB50" s="268"/>
    </row>
    <row r="51" spans="1:256" ht="15" customHeight="1">
      <c r="A51" t="s" s="212">
        <v>1708</v>
      </c>
      <c r="B51" s="294"/>
      <c r="C51" t="s" s="290">
        <v>1964</v>
      </c>
      <c r="D51" t="s" s="4">
        <v>1577</v>
      </c>
      <c r="E51" t="s" s="235">
        <v>130</v>
      </c>
      <c r="F51" t="s" s="235">
        <v>130</v>
      </c>
      <c r="G51" s="235"/>
      <c r="H51" s="235"/>
      <c r="I51" s="235"/>
      <c r="J51" s="235"/>
      <c r="K51" s="235"/>
      <c r="L51" s="235"/>
      <c r="M51" s="235"/>
      <c r="N51" s="235"/>
      <c r="O51" s="235"/>
      <c r="P51" s="235"/>
      <c r="Q51" s="235"/>
      <c r="R51" s="235"/>
      <c r="S51" s="235"/>
      <c r="T51" s="235"/>
      <c r="U51" s="235"/>
      <c r="V51" s="235"/>
      <c r="W51" s="235"/>
      <c r="X51" s="235"/>
      <c r="Y51" s="235"/>
      <c r="Z51" s="235"/>
      <c r="AA51" s="235"/>
      <c r="AB51" s="235"/>
      <c r="AC51" s="235"/>
      <c r="AD51" s="235"/>
      <c r="AE51" s="235"/>
      <c r="AF51" s="235"/>
      <c r="AG51" s="235"/>
      <c r="AH51" s="235"/>
      <c r="AI51" s="235"/>
      <c r="AJ51" s="235"/>
      <c r="AK51" s="235"/>
      <c r="AL51" s="235"/>
      <c r="AM51" s="235"/>
      <c r="AN51" s="235"/>
      <c r="AO51" s="235"/>
      <c r="AP51" s="235"/>
      <c r="AQ51" s="235"/>
      <c r="AR51" s="235"/>
      <c r="AS51" s="235"/>
      <c r="AT51" s="235"/>
      <c r="AU51" s="235"/>
      <c r="AV51" s="235"/>
      <c r="AW51" s="235"/>
      <c r="AX51" s="235"/>
      <c r="AY51" s="235"/>
      <c r="AZ51" s="235"/>
      <c r="BA51" s="235"/>
      <c r="BB51" s="84"/>
    </row>
    <row r="52" spans="1:256">
      <c r="A52" t="s" s="212">
        <v>1418</v>
      </c>
      <c r="B52" s="294"/>
      <c r="C52" s="291"/>
      <c r="D52" t="s" s="188">
        <v>1745</v>
      </c>
      <c r="E52" t="s" s="45">
        <v>739</v>
      </c>
      <c r="F52" t="s" s="45">
        <v>739</v>
      </c>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10"/>
    </row>
    <row r="53" spans="1:256">
      <c r="A53" t="s" s="212">
        <v>1863</v>
      </c>
      <c r="B53" s="294"/>
      <c r="C53" s="291"/>
      <c r="D53" t="s" s="188">
        <v>224</v>
      </c>
      <c r="E53" s="45">
        <v>1</v>
      </c>
      <c r="F53" s="45">
        <v>1</v>
      </c>
      <c r="G53" s="45">
        <v>0</v>
      </c>
      <c r="H53" s="45">
        <v>0</v>
      </c>
      <c r="I53" s="45">
        <v>0</v>
      </c>
      <c r="J53" s="45">
        <v>0</v>
      </c>
      <c r="K53" s="45">
        <v>0</v>
      </c>
      <c r="L53" s="45">
        <v>0</v>
      </c>
      <c r="M53" s="45">
        <v>0</v>
      </c>
      <c r="N53" s="45">
        <v>0</v>
      </c>
      <c r="O53" s="45">
        <v>0</v>
      </c>
      <c r="P53" s="45">
        <v>0</v>
      </c>
      <c r="Q53" s="45">
        <v>0</v>
      </c>
      <c r="R53" s="45">
        <v>0</v>
      </c>
      <c r="S53" s="45">
        <v>0</v>
      </c>
      <c r="T53" s="45">
        <v>0</v>
      </c>
      <c r="U53" s="45">
        <v>0</v>
      </c>
      <c r="V53" s="45">
        <v>0</v>
      </c>
      <c r="W53" s="45">
        <v>0</v>
      </c>
      <c r="X53" s="45">
        <v>0</v>
      </c>
      <c r="Y53" s="45">
        <v>0</v>
      </c>
      <c r="Z53" s="45">
        <v>0</v>
      </c>
      <c r="AA53" s="45">
        <v>0</v>
      </c>
      <c r="AB53" s="45">
        <v>0</v>
      </c>
      <c r="AC53" s="45">
        <v>0</v>
      </c>
      <c r="AD53" s="45">
        <v>0</v>
      </c>
      <c r="AE53" s="45">
        <v>0</v>
      </c>
      <c r="AF53" s="45">
        <v>0</v>
      </c>
      <c r="AG53" s="45">
        <v>0</v>
      </c>
      <c r="AH53" s="45">
        <v>0</v>
      </c>
      <c r="AI53" s="45">
        <v>0</v>
      </c>
      <c r="AJ53" s="45">
        <v>0</v>
      </c>
      <c r="AK53" s="45">
        <v>0</v>
      </c>
      <c r="AL53" s="45">
        <v>0</v>
      </c>
      <c r="AM53" s="45">
        <v>0</v>
      </c>
      <c r="AN53" s="45">
        <v>0</v>
      </c>
      <c r="AO53" s="45">
        <v>0</v>
      </c>
      <c r="AP53" s="45">
        <v>0</v>
      </c>
      <c r="AQ53" s="45">
        <v>0</v>
      </c>
      <c r="AR53" s="45">
        <v>0</v>
      </c>
      <c r="AS53" s="45">
        <v>0</v>
      </c>
      <c r="AT53" s="45">
        <v>0</v>
      </c>
      <c r="AU53" s="45">
        <v>0</v>
      </c>
      <c r="AV53" s="45">
        <v>0</v>
      </c>
      <c r="AW53" s="45">
        <v>0</v>
      </c>
      <c r="AX53" s="45">
        <v>0</v>
      </c>
      <c r="AY53" s="45">
        <v>0</v>
      </c>
      <c r="AZ53" s="45">
        <v>0</v>
      </c>
      <c r="BA53" s="45">
        <v>0</v>
      </c>
      <c r="BB53" s="10">
        <v>0</v>
      </c>
    </row>
    <row r="54" spans="1:256">
      <c r="A54" t="s" s="212">
        <v>1013</v>
      </c>
      <c r="B54" s="294"/>
      <c r="C54" s="291"/>
      <c r="D54" t="s" s="122">
        <v>485</v>
      </c>
      <c r="E54" s="71">
        <v>3480</v>
      </c>
      <c r="F54" s="71">
        <v>3480</v>
      </c>
      <c r="G54" s="71">
        <v>0</v>
      </c>
      <c r="H54" s="71">
        <v>0</v>
      </c>
      <c r="I54" s="71">
        <v>0</v>
      </c>
      <c r="J54" s="71">
        <v>0</v>
      </c>
      <c r="K54" s="71">
        <v>0</v>
      </c>
      <c r="L54" s="71">
        <v>0</v>
      </c>
      <c r="M54" s="71">
        <v>0</v>
      </c>
      <c r="N54" s="71">
        <v>0</v>
      </c>
      <c r="O54" s="71">
        <v>0</v>
      </c>
      <c r="P54" s="71">
        <v>0</v>
      </c>
      <c r="Q54" s="71">
        <v>0</v>
      </c>
      <c r="R54" s="71">
        <v>0</v>
      </c>
      <c r="S54" s="71">
        <v>0</v>
      </c>
      <c r="T54" s="71">
        <v>0</v>
      </c>
      <c r="U54" s="71">
        <v>0</v>
      </c>
      <c r="V54" s="71">
        <v>0</v>
      </c>
      <c r="W54" s="71">
        <v>0</v>
      </c>
      <c r="X54" s="71">
        <v>0</v>
      </c>
      <c r="Y54" s="71">
        <v>0</v>
      </c>
      <c r="Z54" s="71">
        <v>0</v>
      </c>
      <c r="AA54" s="71">
        <v>0</v>
      </c>
      <c r="AB54" s="71">
        <v>0</v>
      </c>
      <c r="AC54" s="71">
        <v>0</v>
      </c>
      <c r="AD54" s="71">
        <v>0</v>
      </c>
      <c r="AE54" s="71">
        <v>0</v>
      </c>
      <c r="AF54" s="71">
        <v>0</v>
      </c>
      <c r="AG54" s="71">
        <v>0</v>
      </c>
      <c r="AH54" s="71">
        <v>0</v>
      </c>
      <c r="AI54" s="71">
        <v>0</v>
      </c>
      <c r="AJ54" s="71">
        <v>0</v>
      </c>
      <c r="AK54" s="71">
        <v>0</v>
      </c>
      <c r="AL54" s="71">
        <v>0</v>
      </c>
      <c r="AM54" s="71">
        <v>0</v>
      </c>
      <c r="AN54" s="71">
        <v>0</v>
      </c>
      <c r="AO54" s="71">
        <v>0</v>
      </c>
      <c r="AP54" s="71">
        <v>0</v>
      </c>
      <c r="AQ54" s="71">
        <v>0</v>
      </c>
      <c r="AR54" s="71">
        <v>0</v>
      </c>
      <c r="AS54" s="71">
        <v>0</v>
      </c>
      <c r="AT54" s="71">
        <v>0</v>
      </c>
      <c r="AU54" s="71">
        <v>0</v>
      </c>
      <c r="AV54" s="71">
        <v>0</v>
      </c>
      <c r="AW54" s="71">
        <v>0</v>
      </c>
      <c r="AX54" s="71">
        <v>0</v>
      </c>
      <c r="AY54" s="71">
        <v>0</v>
      </c>
      <c r="AZ54" s="71">
        <v>0</v>
      </c>
      <c r="BA54" s="71">
        <v>0</v>
      </c>
      <c r="BB54" s="48">
        <v>0</v>
      </c>
    </row>
    <row r="55" spans="1:256">
      <c r="A55" t="s" s="212">
        <v>457</v>
      </c>
      <c r="B55" s="294"/>
      <c r="C55" s="291"/>
      <c r="D55" t="s" s="122">
        <v>1259</v>
      </c>
      <c r="E55" s="45">
        <v>1</v>
      </c>
      <c r="F55" s="45">
        <v>1</v>
      </c>
      <c r="G55" s="45">
        <v>0</v>
      </c>
      <c r="H55" s="45">
        <v>0</v>
      </c>
      <c r="I55" s="45">
        <v>0</v>
      </c>
      <c r="J55" s="45">
        <v>0</v>
      </c>
      <c r="K55" s="45">
        <v>0</v>
      </c>
      <c r="L55" s="45">
        <v>0</v>
      </c>
      <c r="M55" s="45">
        <v>0</v>
      </c>
      <c r="N55" s="45">
        <v>0</v>
      </c>
      <c r="O55" s="45">
        <v>0</v>
      </c>
      <c r="P55" s="45">
        <v>0</v>
      </c>
      <c r="Q55" s="45">
        <v>0</v>
      </c>
      <c r="R55" s="45">
        <v>0</v>
      </c>
      <c r="S55" s="45">
        <v>0</v>
      </c>
      <c r="T55" s="45">
        <v>0</v>
      </c>
      <c r="U55" s="45">
        <v>0</v>
      </c>
      <c r="V55" s="45">
        <v>0</v>
      </c>
      <c r="W55" s="45">
        <v>0</v>
      </c>
      <c r="X55" s="45">
        <v>0</v>
      </c>
      <c r="Y55" s="45">
        <v>0</v>
      </c>
      <c r="Z55" s="45">
        <v>0</v>
      </c>
      <c r="AA55" s="45">
        <v>0</v>
      </c>
      <c r="AB55" s="45">
        <v>0</v>
      </c>
      <c r="AC55" s="45">
        <v>0</v>
      </c>
      <c r="AD55" s="45">
        <v>0</v>
      </c>
      <c r="AE55" s="45">
        <v>0</v>
      </c>
      <c r="AF55" s="45">
        <v>0</v>
      </c>
      <c r="AG55" s="45">
        <v>0</v>
      </c>
      <c r="AH55" s="45">
        <v>0</v>
      </c>
      <c r="AI55" s="45">
        <v>0</v>
      </c>
      <c r="AJ55" s="45">
        <v>0</v>
      </c>
      <c r="AK55" s="45">
        <v>0</v>
      </c>
      <c r="AL55" s="45">
        <v>0</v>
      </c>
      <c r="AM55" s="45">
        <v>0</v>
      </c>
      <c r="AN55" s="45">
        <v>0</v>
      </c>
      <c r="AO55" s="45">
        <v>0</v>
      </c>
      <c r="AP55" s="45">
        <v>0</v>
      </c>
      <c r="AQ55" s="45">
        <v>0</v>
      </c>
      <c r="AR55" s="45">
        <v>0</v>
      </c>
      <c r="AS55" s="45">
        <v>0</v>
      </c>
      <c r="AT55" s="45">
        <v>0</v>
      </c>
      <c r="AU55" s="45">
        <v>0</v>
      </c>
      <c r="AV55" s="45">
        <v>0</v>
      </c>
      <c r="AW55" s="45">
        <v>0</v>
      </c>
      <c r="AX55" s="45">
        <v>0</v>
      </c>
      <c r="AY55" s="45">
        <v>0</v>
      </c>
      <c r="AZ55" s="45">
        <v>0</v>
      </c>
      <c r="BA55" s="45">
        <v>0</v>
      </c>
      <c r="BB55" s="10">
        <v>0</v>
      </c>
    </row>
    <row r="56" spans="1:256">
      <c r="A56" t="s" s="212">
        <v>17</v>
      </c>
      <c r="B56" s="294"/>
      <c r="C56" s="291"/>
      <c r="D56" t="s" s="122">
        <v>663</v>
      </c>
      <c r="E56" s="45">
        <v>0</v>
      </c>
      <c r="F56" s="45">
        <v>0</v>
      </c>
      <c r="G56" s="45">
        <v>0</v>
      </c>
      <c r="H56" s="45">
        <v>0</v>
      </c>
      <c r="I56" s="45">
        <v>0</v>
      </c>
      <c r="J56" s="45">
        <v>0</v>
      </c>
      <c r="K56" s="45">
        <v>0</v>
      </c>
      <c r="L56" s="45">
        <v>0</v>
      </c>
      <c r="M56" s="45">
        <v>0</v>
      </c>
      <c r="N56" s="45">
        <v>0</v>
      </c>
      <c r="O56" s="45">
        <v>0</v>
      </c>
      <c r="P56" s="45">
        <v>0</v>
      </c>
      <c r="Q56" s="45">
        <v>0</v>
      </c>
      <c r="R56" s="45">
        <v>0</v>
      </c>
      <c r="S56" s="45">
        <v>0</v>
      </c>
      <c r="T56" s="45">
        <v>0</v>
      </c>
      <c r="U56" s="45">
        <v>0</v>
      </c>
      <c r="V56" s="45">
        <v>0</v>
      </c>
      <c r="W56" s="45">
        <v>0</v>
      </c>
      <c r="X56" s="45">
        <v>0</v>
      </c>
      <c r="Y56" s="45">
        <v>0</v>
      </c>
      <c r="Z56" s="45">
        <v>0</v>
      </c>
      <c r="AA56" s="45">
        <v>0</v>
      </c>
      <c r="AB56" s="45">
        <v>0</v>
      </c>
      <c r="AC56" s="45">
        <v>0</v>
      </c>
      <c r="AD56" s="45">
        <v>0</v>
      </c>
      <c r="AE56" s="45">
        <v>0</v>
      </c>
      <c r="AF56" s="45">
        <v>0</v>
      </c>
      <c r="AG56" s="45">
        <v>0</v>
      </c>
      <c r="AH56" s="45">
        <v>0</v>
      </c>
      <c r="AI56" s="45">
        <v>0</v>
      </c>
      <c r="AJ56" s="45">
        <v>0</v>
      </c>
      <c r="AK56" s="45">
        <v>0</v>
      </c>
      <c r="AL56" s="45">
        <v>0</v>
      </c>
      <c r="AM56" s="45">
        <v>0</v>
      </c>
      <c r="AN56" s="45">
        <v>0</v>
      </c>
      <c r="AO56" s="45">
        <v>0</v>
      </c>
      <c r="AP56" s="45">
        <v>0</v>
      </c>
      <c r="AQ56" s="45">
        <v>0</v>
      </c>
      <c r="AR56" s="45">
        <v>0</v>
      </c>
      <c r="AS56" s="45">
        <v>0</v>
      </c>
      <c r="AT56" s="45">
        <v>0</v>
      </c>
      <c r="AU56" s="45">
        <v>0</v>
      </c>
      <c r="AV56" s="45">
        <v>0</v>
      </c>
      <c r="AW56" s="45">
        <v>0</v>
      </c>
      <c r="AX56" s="45">
        <v>0</v>
      </c>
      <c r="AY56" s="45">
        <v>0</v>
      </c>
      <c r="AZ56" s="45">
        <v>0</v>
      </c>
      <c r="BA56" s="45">
        <v>0</v>
      </c>
      <c r="BB56" s="10">
        <v>0</v>
      </c>
    </row>
    <row r="57" spans="1:256">
      <c r="A57" t="s" s="212">
        <v>1635</v>
      </c>
      <c r="B57" s="294"/>
      <c r="C57" s="291"/>
      <c r="D57" t="s" s="122">
        <v>1451</v>
      </c>
      <c r="E57" t="s" s="45">
        <v>1867</v>
      </c>
      <c r="F57" t="s" s="45">
        <v>1867</v>
      </c>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row>
    <row r="58" spans="1:256">
      <c r="A58" t="s" s="212">
        <v>1610</v>
      </c>
      <c r="B58" s="294"/>
      <c r="C58" s="291"/>
      <c r="D58" t="s" s="122">
        <v>1965</v>
      </c>
      <c r="E58" s="241">
        <v>0.292</v>
      </c>
      <c r="F58" s="241">
        <v>0.292</v>
      </c>
      <c r="G58" s="241">
        <v>0</v>
      </c>
      <c r="H58" s="241">
        <v>0</v>
      </c>
      <c r="I58" s="241">
        <v>0</v>
      </c>
      <c r="J58" s="241">
        <v>0</v>
      </c>
      <c r="K58" s="241">
        <v>0</v>
      </c>
      <c r="L58" s="241">
        <v>0</v>
      </c>
      <c r="M58" s="241">
        <v>0</v>
      </c>
      <c r="N58" s="241">
        <v>0</v>
      </c>
      <c r="O58" s="241">
        <v>0</v>
      </c>
      <c r="P58" s="241">
        <v>0</v>
      </c>
      <c r="Q58" s="241">
        <v>0</v>
      </c>
      <c r="R58" s="241">
        <v>0</v>
      </c>
      <c r="S58" s="241">
        <v>0</v>
      </c>
      <c r="T58" s="241">
        <v>0</v>
      </c>
      <c r="U58" s="241">
        <v>0</v>
      </c>
      <c r="V58" s="241">
        <v>0</v>
      </c>
      <c r="W58" s="241">
        <v>0</v>
      </c>
      <c r="X58" s="241">
        <v>0</v>
      </c>
      <c r="Y58" s="241">
        <v>0</v>
      </c>
      <c r="Z58" s="241">
        <v>0</v>
      </c>
      <c r="AA58" s="241">
        <v>0</v>
      </c>
      <c r="AB58" s="241">
        <v>0</v>
      </c>
      <c r="AC58" s="241">
        <v>0</v>
      </c>
      <c r="AD58" s="241">
        <v>0</v>
      </c>
      <c r="AE58" s="241">
        <v>0</v>
      </c>
      <c r="AF58" s="241">
        <v>0</v>
      </c>
      <c r="AG58" s="241">
        <v>0</v>
      </c>
      <c r="AH58" s="241">
        <v>0</v>
      </c>
      <c r="AI58" s="241">
        <v>0</v>
      </c>
      <c r="AJ58" s="241">
        <v>0</v>
      </c>
      <c r="AK58" s="241">
        <v>0</v>
      </c>
      <c r="AL58" s="241">
        <v>0</v>
      </c>
      <c r="AM58" s="241">
        <v>0</v>
      </c>
      <c r="AN58" s="241">
        <v>0</v>
      </c>
      <c r="AO58" s="241">
        <v>0</v>
      </c>
      <c r="AP58" s="241">
        <v>0</v>
      </c>
      <c r="AQ58" s="241">
        <v>0</v>
      </c>
      <c r="AR58" s="241">
        <v>0</v>
      </c>
      <c r="AS58" s="241">
        <v>0</v>
      </c>
      <c r="AT58" s="241">
        <v>0</v>
      </c>
      <c r="AU58" s="241">
        <v>0</v>
      </c>
      <c r="AV58" s="241">
        <v>0</v>
      </c>
      <c r="AW58" s="241">
        <v>0</v>
      </c>
      <c r="AX58" s="241">
        <v>0</v>
      </c>
      <c r="AY58" s="241">
        <v>0</v>
      </c>
      <c r="AZ58" s="241">
        <v>0</v>
      </c>
      <c r="BA58" s="241">
        <v>0</v>
      </c>
      <c r="BB58" s="27">
        <v>0</v>
      </c>
    </row>
    <row r="59" spans="1:256">
      <c r="A59" t="s" s="212">
        <v>292</v>
      </c>
      <c r="B59" s="294"/>
      <c r="C59" s="291"/>
      <c r="D59" t="s" s="122">
        <v>1246</v>
      </c>
      <c r="E59" s="241">
        <v>2.59</v>
      </c>
      <c r="F59" s="241">
        <v>2.59</v>
      </c>
      <c r="G59" s="241">
        <v>0</v>
      </c>
      <c r="H59" s="241">
        <v>0</v>
      </c>
      <c r="I59" s="241">
        <v>0</v>
      </c>
      <c r="J59" s="241">
        <v>0</v>
      </c>
      <c r="K59" s="241">
        <v>0</v>
      </c>
      <c r="L59" s="241">
        <v>0</v>
      </c>
      <c r="M59" s="241">
        <v>0</v>
      </c>
      <c r="N59" s="241">
        <v>0</v>
      </c>
      <c r="O59" s="241">
        <v>0</v>
      </c>
      <c r="P59" s="241">
        <v>0</v>
      </c>
      <c r="Q59" s="241">
        <v>0</v>
      </c>
      <c r="R59" s="241">
        <v>0</v>
      </c>
      <c r="S59" s="241">
        <v>0</v>
      </c>
      <c r="T59" s="241">
        <v>0</v>
      </c>
      <c r="U59" s="241">
        <v>0</v>
      </c>
      <c r="V59" s="241">
        <v>0</v>
      </c>
      <c r="W59" s="241">
        <v>0</v>
      </c>
      <c r="X59" s="241">
        <v>0</v>
      </c>
      <c r="Y59" s="241">
        <v>0</v>
      </c>
      <c r="Z59" s="241">
        <v>0</v>
      </c>
      <c r="AA59" s="241">
        <v>0</v>
      </c>
      <c r="AB59" s="241">
        <v>0</v>
      </c>
      <c r="AC59" s="241">
        <v>0</v>
      </c>
      <c r="AD59" s="241">
        <v>0</v>
      </c>
      <c r="AE59" s="241">
        <v>0</v>
      </c>
      <c r="AF59" s="241">
        <v>0</v>
      </c>
      <c r="AG59" s="241">
        <v>0</v>
      </c>
      <c r="AH59" s="241">
        <v>0</v>
      </c>
      <c r="AI59" s="241">
        <v>0</v>
      </c>
      <c r="AJ59" s="241">
        <v>0</v>
      </c>
      <c r="AK59" s="241">
        <v>0</v>
      </c>
      <c r="AL59" s="241">
        <v>0</v>
      </c>
      <c r="AM59" s="241">
        <v>0</v>
      </c>
      <c r="AN59" s="241">
        <v>0</v>
      </c>
      <c r="AO59" s="241">
        <v>0</v>
      </c>
      <c r="AP59" s="241">
        <v>0</v>
      </c>
      <c r="AQ59" s="241">
        <v>0</v>
      </c>
      <c r="AR59" s="241">
        <v>0</v>
      </c>
      <c r="AS59" s="241">
        <v>0</v>
      </c>
      <c r="AT59" s="241">
        <v>0</v>
      </c>
      <c r="AU59" s="241">
        <v>0</v>
      </c>
      <c r="AV59" s="241">
        <v>0</v>
      </c>
      <c r="AW59" s="241">
        <v>0</v>
      </c>
      <c r="AX59" s="241">
        <v>0</v>
      </c>
      <c r="AY59" s="241">
        <v>0</v>
      </c>
      <c r="AZ59" s="241">
        <v>0</v>
      </c>
      <c r="BA59" s="241">
        <v>0</v>
      </c>
      <c r="BB59" s="27">
        <v>0</v>
      </c>
    </row>
    <row r="60" spans="1:256" ht="16" thickBot="1">
      <c r="A60" t="s" s="212">
        <v>671</v>
      </c>
      <c r="B60" s="294"/>
      <c r="C60" s="291"/>
      <c r="D60" t="s" s="1">
        <v>1966</v>
      </c>
      <c r="E60" s="241">
        <v>0.0146</v>
      </c>
      <c r="F60" s="241">
        <v>0.0146</v>
      </c>
      <c r="G60" s="241">
        <v>0</v>
      </c>
      <c r="H60" s="241">
        <v>0</v>
      </c>
      <c r="I60" s="241">
        <v>0</v>
      </c>
      <c r="J60" s="241">
        <v>0</v>
      </c>
      <c r="K60" s="241">
        <v>0</v>
      </c>
      <c r="L60" s="241">
        <v>0</v>
      </c>
      <c r="M60" s="241">
        <v>0</v>
      </c>
      <c r="N60" s="241">
        <v>0</v>
      </c>
      <c r="O60" s="241">
        <v>0</v>
      </c>
      <c r="P60" s="241">
        <v>0</v>
      </c>
      <c r="Q60" s="241">
        <v>0</v>
      </c>
      <c r="R60" s="241">
        <v>0</v>
      </c>
      <c r="S60" s="241">
        <v>0</v>
      </c>
      <c r="T60" s="241">
        <v>0</v>
      </c>
      <c r="U60" s="241">
        <v>0</v>
      </c>
      <c r="V60" s="241">
        <v>0</v>
      </c>
      <c r="W60" s="241">
        <v>0</v>
      </c>
      <c r="X60" s="241">
        <v>0</v>
      </c>
      <c r="Y60" s="241">
        <v>0</v>
      </c>
      <c r="Z60" s="241">
        <v>0</v>
      </c>
      <c r="AA60" s="241">
        <v>0</v>
      </c>
      <c r="AB60" s="241">
        <v>0</v>
      </c>
      <c r="AC60" s="241">
        <v>0</v>
      </c>
      <c r="AD60" s="241">
        <v>0</v>
      </c>
      <c r="AE60" s="241">
        <v>0</v>
      </c>
      <c r="AF60" s="241">
        <v>0</v>
      </c>
      <c r="AG60" s="241">
        <v>0</v>
      </c>
      <c r="AH60" s="241">
        <v>0</v>
      </c>
      <c r="AI60" s="241">
        <v>0</v>
      </c>
      <c r="AJ60" s="241">
        <v>0</v>
      </c>
      <c r="AK60" s="241">
        <v>0</v>
      </c>
      <c r="AL60" s="241">
        <v>0</v>
      </c>
      <c r="AM60" s="241">
        <v>0</v>
      </c>
      <c r="AN60" s="241">
        <v>0</v>
      </c>
      <c r="AO60" s="241">
        <v>0</v>
      </c>
      <c r="AP60" s="241">
        <v>0</v>
      </c>
      <c r="AQ60" s="241">
        <v>0</v>
      </c>
      <c r="AR60" s="241">
        <v>0</v>
      </c>
      <c r="AS60" s="241">
        <v>0</v>
      </c>
      <c r="AT60" s="241">
        <v>0</v>
      </c>
      <c r="AU60" s="241">
        <v>0</v>
      </c>
      <c r="AV60" s="241">
        <v>0</v>
      </c>
      <c r="AW60" s="241">
        <v>0</v>
      </c>
      <c r="AX60" s="241">
        <v>0</v>
      </c>
      <c r="AY60" s="241">
        <v>0</v>
      </c>
      <c r="AZ60" s="241">
        <v>0</v>
      </c>
      <c r="BA60" s="241">
        <v>0</v>
      </c>
      <c r="BB60" s="27">
        <v>0</v>
      </c>
    </row>
    <row r="61" spans="1:256">
      <c r="A61" t="s" s="212">
        <v>852</v>
      </c>
      <c r="B61" s="294"/>
      <c r="C61" s="291"/>
      <c r="D61" t="s" s="4">
        <v>1816</v>
      </c>
      <c r="E61" s="235"/>
      <c r="F61" s="235"/>
      <c r="G61" s="235"/>
      <c r="H61" s="235"/>
      <c r="I61" s="235"/>
      <c r="J61" s="235"/>
      <c r="K61" s="235"/>
      <c r="L61" s="235"/>
      <c r="M61" s="235"/>
      <c r="N61" s="235"/>
      <c r="O61" s="235"/>
      <c r="P61" s="235"/>
      <c r="Q61" s="235"/>
      <c r="R61" s="235"/>
      <c r="S61" s="235"/>
      <c r="T61" s="235"/>
      <c r="U61" s="235"/>
      <c r="V61" s="235"/>
      <c r="W61" s="235"/>
      <c r="X61" s="235"/>
      <c r="Y61" s="235"/>
      <c r="Z61" s="235"/>
      <c r="AA61" s="235"/>
      <c r="AB61" s="235"/>
      <c r="AC61" s="235"/>
      <c r="AD61" s="235"/>
      <c r="AE61" s="235"/>
      <c r="AF61" s="235"/>
      <c r="AG61" s="235"/>
      <c r="AH61" s="235"/>
      <c r="AI61" s="235"/>
      <c r="AJ61" s="235"/>
      <c r="AK61" s="235"/>
      <c r="AL61" s="235"/>
      <c r="AM61" s="235"/>
      <c r="AN61" s="235"/>
      <c r="AO61" s="235"/>
      <c r="AP61" s="235"/>
      <c r="AQ61" s="235"/>
      <c r="AR61" s="235"/>
      <c r="AS61" s="235"/>
      <c r="AT61" s="235"/>
      <c r="AU61" s="235"/>
      <c r="AV61" s="235"/>
      <c r="AW61" s="235"/>
      <c r="AX61" s="235"/>
      <c r="AY61" s="235"/>
      <c r="AZ61" s="235"/>
      <c r="BA61" s="235"/>
      <c r="BB61" s="84"/>
    </row>
    <row r="62" spans="1:256" ht="14.25" customHeight="1">
      <c r="A62" t="s" s="212">
        <v>825</v>
      </c>
      <c r="B62" s="294"/>
      <c r="C62" s="291"/>
      <c r="D62" t="s" s="188">
        <v>1682</v>
      </c>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10"/>
    </row>
    <row r="63" spans="1:256">
      <c r="A63" t="s" s="212">
        <v>708</v>
      </c>
      <c r="B63" s="294"/>
      <c r="C63" s="291"/>
      <c r="D63" t="s" s="188">
        <v>267</v>
      </c>
      <c r="E63" s="45">
        <v>0</v>
      </c>
      <c r="F63" s="45">
        <v>0</v>
      </c>
      <c r="G63" s="45">
        <v>0</v>
      </c>
      <c r="H63" s="45">
        <v>0</v>
      </c>
      <c r="I63" s="45">
        <v>0</v>
      </c>
      <c r="J63" s="45">
        <v>0</v>
      </c>
      <c r="K63" s="45">
        <v>0</v>
      </c>
      <c r="L63" s="45">
        <v>0</v>
      </c>
      <c r="M63" s="45">
        <v>0</v>
      </c>
      <c r="N63" s="45">
        <v>0</v>
      </c>
      <c r="O63" s="45">
        <v>0</v>
      </c>
      <c r="P63" s="45">
        <v>0</v>
      </c>
      <c r="Q63" s="45">
        <v>0</v>
      </c>
      <c r="R63" s="45">
        <v>0</v>
      </c>
      <c r="S63" s="45">
        <v>0</v>
      </c>
      <c r="T63" s="45">
        <v>0</v>
      </c>
      <c r="U63" s="45">
        <v>0</v>
      </c>
      <c r="V63" s="45">
        <v>0</v>
      </c>
      <c r="W63" s="45">
        <v>0</v>
      </c>
      <c r="X63" s="45">
        <v>0</v>
      </c>
      <c r="Y63" s="45">
        <v>0</v>
      </c>
      <c r="Z63" s="45">
        <v>0</v>
      </c>
      <c r="AA63" s="45">
        <v>0</v>
      </c>
      <c r="AB63" s="45">
        <v>0</v>
      </c>
      <c r="AC63" s="45">
        <v>0</v>
      </c>
      <c r="AD63" s="45">
        <v>0</v>
      </c>
      <c r="AE63" s="45">
        <v>0</v>
      </c>
      <c r="AF63" s="45">
        <v>0</v>
      </c>
      <c r="AG63" s="45">
        <v>0</v>
      </c>
      <c r="AH63" s="45">
        <v>0</v>
      </c>
      <c r="AI63" s="45">
        <v>0</v>
      </c>
      <c r="AJ63" s="45">
        <v>0</v>
      </c>
      <c r="AK63" s="45">
        <v>0</v>
      </c>
      <c r="AL63" s="45">
        <v>0</v>
      </c>
      <c r="AM63" s="45">
        <v>0</v>
      </c>
      <c r="AN63" s="45">
        <v>0</v>
      </c>
      <c r="AO63" s="45">
        <v>0</v>
      </c>
      <c r="AP63" s="45">
        <v>0</v>
      </c>
      <c r="AQ63" s="45">
        <v>0</v>
      </c>
      <c r="AR63" s="45">
        <v>0</v>
      </c>
      <c r="AS63" s="45">
        <v>0</v>
      </c>
      <c r="AT63" s="45">
        <v>0</v>
      </c>
      <c r="AU63" s="45">
        <v>0</v>
      </c>
      <c r="AV63" s="45">
        <v>0</v>
      </c>
      <c r="AW63" s="45">
        <v>0</v>
      </c>
      <c r="AX63" s="45">
        <v>0</v>
      </c>
      <c r="AY63" s="45">
        <v>0</v>
      </c>
      <c r="AZ63" s="45">
        <v>0</v>
      </c>
      <c r="BA63" s="45">
        <v>0</v>
      </c>
      <c r="BB63" s="10">
        <v>0</v>
      </c>
      <c r="BC63" s="70"/>
      <c r="BD63" s="70"/>
      <c r="BE63" s="70"/>
      <c r="BF63" s="70"/>
      <c r="BG63" s="70"/>
      <c r="BH63" s="70"/>
      <c r="BI63" s="70"/>
      <c r="BJ63" s="70"/>
      <c r="BK63" s="70"/>
      <c r="BL63" s="70"/>
      <c r="BM63" s="70"/>
      <c r="BN63" s="70"/>
      <c r="BO63" s="70"/>
      <c r="BP63" s="70"/>
      <c r="BQ63" s="70"/>
      <c r="BR63" s="70"/>
      <c r="BS63" s="70"/>
      <c r="BT63" s="70"/>
      <c r="BU63" s="70"/>
      <c r="BV63" s="70"/>
      <c r="BW63" s="70"/>
      <c r="BX63" s="70"/>
      <c r="BY63" s="70"/>
      <c r="BZ63" s="70"/>
      <c r="CA63" s="70"/>
      <c r="CB63" s="70"/>
      <c r="CC63" s="70"/>
      <c r="CD63" s="70"/>
      <c r="CE63" s="70"/>
      <c r="CF63" s="70"/>
      <c r="CG63" s="70"/>
      <c r="CH63" s="70"/>
      <c r="CI63" s="70"/>
      <c r="CJ63" s="70"/>
      <c r="CK63" s="70"/>
      <c r="CL63" s="70"/>
      <c r="CM63" s="70"/>
      <c r="CN63" s="70"/>
      <c r="CO63" s="70"/>
      <c r="CP63" s="70"/>
      <c r="CQ63" s="70"/>
      <c r="CR63" s="70"/>
      <c r="CS63" s="70"/>
      <c r="CT63" s="70"/>
      <c r="CU63" s="70"/>
      <c r="CV63" s="70"/>
      <c r="CW63" s="70"/>
      <c r="CX63" s="70"/>
      <c r="CY63" s="70"/>
      <c r="CZ63" s="70"/>
      <c r="DA63" s="70"/>
      <c r="DB63" s="70"/>
      <c r="DC63" s="70"/>
      <c r="DD63" s="70"/>
      <c r="DE63" s="70"/>
      <c r="DF63" s="70"/>
      <c r="DG63" s="70"/>
      <c r="DH63" s="70"/>
      <c r="DI63" s="70"/>
      <c r="DJ63" s="70"/>
      <c r="DK63" s="70"/>
      <c r="DL63" s="70"/>
      <c r="DM63" s="70"/>
      <c r="DN63" s="70"/>
      <c r="DO63" s="70"/>
      <c r="DP63" s="70"/>
      <c r="DQ63" s="70"/>
      <c r="DR63" s="70"/>
      <c r="DS63" s="70"/>
      <c r="DT63" s="70"/>
      <c r="DU63" s="70"/>
      <c r="DV63" s="70"/>
      <c r="DW63" s="70"/>
      <c r="DX63" s="70"/>
      <c r="DY63" s="70"/>
      <c r="DZ63" s="70"/>
      <c r="EA63" s="70"/>
      <c r="EB63" s="70"/>
      <c r="EC63" s="70"/>
      <c r="ED63" s="70"/>
      <c r="EE63" s="70"/>
      <c r="EF63" s="70"/>
      <c r="EG63" s="70"/>
      <c r="EH63" s="70"/>
      <c r="EI63" s="70"/>
      <c r="EJ63" s="70"/>
      <c r="EK63" s="70"/>
      <c r="EL63" s="70"/>
      <c r="EM63" s="70"/>
      <c r="EN63" s="70"/>
      <c r="EO63" s="70"/>
      <c r="EP63" s="70"/>
      <c r="EQ63" s="70"/>
      <c r="ER63" s="70"/>
      <c r="ES63" s="70"/>
      <c r="ET63" s="70"/>
      <c r="EU63" s="70"/>
      <c r="EV63" s="70"/>
      <c r="EW63" s="70"/>
      <c r="EX63" s="70"/>
      <c r="EY63" s="70"/>
      <c r="EZ63" s="70"/>
      <c r="FA63" s="70"/>
      <c r="FB63" s="70"/>
      <c r="FC63" s="70"/>
      <c r="FD63" s="70"/>
      <c r="FE63" s="70"/>
      <c r="FF63" s="70"/>
      <c r="FG63" s="70"/>
      <c r="FH63" s="70"/>
      <c r="FI63" s="70"/>
      <c r="FJ63" s="70"/>
      <c r="FK63" s="70"/>
      <c r="FL63" s="70"/>
      <c r="FM63" s="70"/>
      <c r="FN63" s="70"/>
      <c r="FO63" s="70"/>
      <c r="FP63" s="70"/>
      <c r="FQ63" s="70"/>
      <c r="FR63" s="70"/>
      <c r="FS63" s="70"/>
      <c r="FT63" s="70"/>
      <c r="FU63" s="70"/>
      <c r="FV63" s="70"/>
      <c r="FW63" s="70"/>
      <c r="FX63" s="70"/>
      <c r="FY63" s="70"/>
      <c r="FZ63" s="70"/>
      <c r="GA63" s="70"/>
      <c r="GB63" s="70"/>
      <c r="GC63" s="70"/>
      <c r="GD63" s="70"/>
      <c r="GE63" s="70"/>
      <c r="GF63" s="70"/>
      <c r="GG63" s="70"/>
      <c r="GH63" s="70"/>
      <c r="GI63" s="70"/>
      <c r="GJ63" s="70"/>
      <c r="GK63" s="70"/>
      <c r="GL63" s="70"/>
      <c r="GM63" s="70"/>
      <c r="GN63" s="70"/>
      <c r="GO63" s="70"/>
      <c r="GP63" s="70"/>
      <c r="GQ63" s="70"/>
      <c r="GR63" s="70"/>
      <c r="GS63" s="70"/>
      <c r="GT63" s="70"/>
      <c r="GU63" s="70"/>
      <c r="GV63" s="70"/>
      <c r="GW63" s="70"/>
      <c r="GX63" s="70"/>
      <c r="GY63" s="70"/>
      <c r="GZ63" s="70"/>
      <c r="HA63" s="70"/>
      <c r="HB63" s="70"/>
      <c r="HC63" s="70"/>
      <c r="HD63" s="70"/>
      <c r="HE63" s="70"/>
      <c r="HF63" s="70"/>
      <c r="HG63" s="70"/>
      <c r="HH63" s="70"/>
      <c r="HI63" s="70"/>
      <c r="HJ63" s="70"/>
      <c r="HK63" s="70"/>
      <c r="HL63" s="70"/>
      <c r="HM63" s="70"/>
      <c r="HN63" s="70"/>
      <c r="HO63" s="70"/>
      <c r="HP63" s="70"/>
      <c r="HQ63" s="70"/>
      <c r="HR63" s="70"/>
      <c r="HS63" s="70"/>
      <c r="HT63" s="70"/>
      <c r="HU63" s="70"/>
      <c r="HV63" s="70"/>
      <c r="HW63" s="70"/>
      <c r="HX63" s="70"/>
      <c r="HY63" s="70"/>
      <c r="HZ63" s="70"/>
      <c r="IA63" s="70"/>
      <c r="IB63" s="70"/>
      <c r="IC63" s="70"/>
      <c r="ID63" s="70"/>
      <c r="IE63" s="70"/>
      <c r="IF63" s="70"/>
      <c r="IG63" s="70"/>
      <c r="IH63" s="70"/>
      <c r="II63" s="70"/>
      <c r="IJ63" s="70"/>
      <c r="IK63" s="70"/>
      <c r="IL63" s="70"/>
      <c r="IM63" s="70"/>
      <c r="IN63" s="70"/>
      <c r="IO63" s="70"/>
      <c r="IP63" s="70"/>
      <c r="IQ63" s="70"/>
      <c r="IR63" s="70"/>
      <c r="IS63" s="70"/>
      <c r="IT63" s="70"/>
      <c r="IU63" s="70"/>
      <c r="IV63" s="70"/>
    </row>
    <row r="64" spans="1:256">
      <c r="A64" t="s" s="212">
        <v>348</v>
      </c>
      <c r="B64" s="294"/>
      <c r="C64" s="291"/>
      <c r="D64" t="s" s="122">
        <v>352</v>
      </c>
      <c r="E64" s="71">
        <v>0</v>
      </c>
      <c r="F64" s="71">
        <v>0</v>
      </c>
      <c r="G64" s="71">
        <v>0</v>
      </c>
      <c r="H64" s="71">
        <v>0</v>
      </c>
      <c r="I64" s="71">
        <v>0</v>
      </c>
      <c r="J64" s="71">
        <v>0</v>
      </c>
      <c r="K64" s="71">
        <v>0</v>
      </c>
      <c r="L64" s="71">
        <v>0</v>
      </c>
      <c r="M64" s="71">
        <v>0</v>
      </c>
      <c r="N64" s="71">
        <v>0</v>
      </c>
      <c r="O64" s="71">
        <v>0</v>
      </c>
      <c r="P64" s="71">
        <v>0</v>
      </c>
      <c r="Q64" s="71">
        <v>0</v>
      </c>
      <c r="R64" s="71">
        <v>0</v>
      </c>
      <c r="S64" s="71">
        <v>0</v>
      </c>
      <c r="T64" s="71">
        <v>0</v>
      </c>
      <c r="U64" s="71">
        <v>0</v>
      </c>
      <c r="V64" s="71">
        <v>0</v>
      </c>
      <c r="W64" s="71">
        <v>0</v>
      </c>
      <c r="X64" s="71">
        <v>0</v>
      </c>
      <c r="Y64" s="71">
        <v>0</v>
      </c>
      <c r="Z64" s="71">
        <v>0</v>
      </c>
      <c r="AA64" s="71">
        <v>0</v>
      </c>
      <c r="AB64" s="71">
        <v>0</v>
      </c>
      <c r="AC64" s="71">
        <v>0</v>
      </c>
      <c r="AD64" s="71">
        <v>0</v>
      </c>
      <c r="AE64" s="71">
        <v>0</v>
      </c>
      <c r="AF64" s="71">
        <v>0</v>
      </c>
      <c r="AG64" s="71">
        <v>0</v>
      </c>
      <c r="AH64" s="71">
        <v>0</v>
      </c>
      <c r="AI64" s="71">
        <v>0</v>
      </c>
      <c r="AJ64" s="71">
        <v>0</v>
      </c>
      <c r="AK64" s="71">
        <v>0</v>
      </c>
      <c r="AL64" s="71">
        <v>0</v>
      </c>
      <c r="AM64" s="71">
        <v>0</v>
      </c>
      <c r="AN64" s="71">
        <v>0</v>
      </c>
      <c r="AO64" s="71">
        <v>0</v>
      </c>
      <c r="AP64" s="71">
        <v>0</v>
      </c>
      <c r="AQ64" s="71">
        <v>0</v>
      </c>
      <c r="AR64" s="71">
        <v>0</v>
      </c>
      <c r="AS64" s="71">
        <v>0</v>
      </c>
      <c r="AT64" s="71">
        <v>0</v>
      </c>
      <c r="AU64" s="71">
        <v>0</v>
      </c>
      <c r="AV64" s="71">
        <v>0</v>
      </c>
      <c r="AW64" s="71">
        <v>0</v>
      </c>
      <c r="AX64" s="71">
        <v>0</v>
      </c>
      <c r="AY64" s="71">
        <v>0</v>
      </c>
      <c r="AZ64" s="71">
        <v>0</v>
      </c>
      <c r="BA64" s="71">
        <v>0</v>
      </c>
      <c r="BB64" s="48">
        <v>0</v>
      </c>
    </row>
    <row r="65" spans="1:54">
      <c r="A65" t="s" s="212">
        <v>334</v>
      </c>
      <c r="B65" s="294"/>
      <c r="C65" s="291"/>
      <c r="D65" t="s" s="122">
        <v>1204</v>
      </c>
      <c r="E65" s="45">
        <v>0</v>
      </c>
      <c r="F65" s="45">
        <v>0</v>
      </c>
      <c r="G65" s="45">
        <v>0</v>
      </c>
      <c r="H65" s="45">
        <v>0</v>
      </c>
      <c r="I65" s="45">
        <v>0</v>
      </c>
      <c r="J65" s="45">
        <v>0</v>
      </c>
      <c r="K65" s="45">
        <v>0</v>
      </c>
      <c r="L65" s="45">
        <v>0</v>
      </c>
      <c r="M65" s="45">
        <v>0</v>
      </c>
      <c r="N65" s="45">
        <v>0</v>
      </c>
      <c r="O65" s="45">
        <v>0</v>
      </c>
      <c r="P65" s="45">
        <v>0</v>
      </c>
      <c r="Q65" s="45">
        <v>0</v>
      </c>
      <c r="R65" s="45">
        <v>0</v>
      </c>
      <c r="S65" s="45">
        <v>0</v>
      </c>
      <c r="T65" s="45">
        <v>0</v>
      </c>
      <c r="U65" s="45">
        <v>0</v>
      </c>
      <c r="V65" s="45">
        <v>0</v>
      </c>
      <c r="W65" s="45">
        <v>0</v>
      </c>
      <c r="X65" s="45">
        <v>0</v>
      </c>
      <c r="Y65" s="45">
        <v>0</v>
      </c>
      <c r="Z65" s="45">
        <v>0</v>
      </c>
      <c r="AA65" s="45">
        <v>0</v>
      </c>
      <c r="AB65" s="45">
        <v>0</v>
      </c>
      <c r="AC65" s="45">
        <v>0</v>
      </c>
      <c r="AD65" s="45">
        <v>0</v>
      </c>
      <c r="AE65" s="45">
        <v>0</v>
      </c>
      <c r="AF65" s="45">
        <v>0</v>
      </c>
      <c r="AG65" s="45">
        <v>0</v>
      </c>
      <c r="AH65" s="45">
        <v>0</v>
      </c>
      <c r="AI65" s="45">
        <v>0</v>
      </c>
      <c r="AJ65" s="45">
        <v>0</v>
      </c>
      <c r="AK65" s="45">
        <v>0</v>
      </c>
      <c r="AL65" s="45">
        <v>0</v>
      </c>
      <c r="AM65" s="45">
        <v>0</v>
      </c>
      <c r="AN65" s="45">
        <v>0</v>
      </c>
      <c r="AO65" s="45">
        <v>0</v>
      </c>
      <c r="AP65" s="45">
        <v>0</v>
      </c>
      <c r="AQ65" s="45">
        <v>0</v>
      </c>
      <c r="AR65" s="45">
        <v>0</v>
      </c>
      <c r="AS65" s="45">
        <v>0</v>
      </c>
      <c r="AT65" s="45">
        <v>0</v>
      </c>
      <c r="AU65" s="45">
        <v>0</v>
      </c>
      <c r="AV65" s="45">
        <v>0</v>
      </c>
      <c r="AW65" s="45">
        <v>0</v>
      </c>
      <c r="AX65" s="45">
        <v>0</v>
      </c>
      <c r="AY65" s="45">
        <v>0</v>
      </c>
      <c r="AZ65" s="45">
        <v>0</v>
      </c>
      <c r="BA65" s="45">
        <v>0</v>
      </c>
      <c r="BB65" s="10">
        <v>0</v>
      </c>
    </row>
    <row r="66" spans="1:54">
      <c r="A66" t="s" s="212">
        <v>441</v>
      </c>
      <c r="B66" s="294"/>
      <c r="C66" s="291"/>
      <c r="D66" t="s" s="122">
        <v>984</v>
      </c>
      <c r="E66" s="45">
        <v>0</v>
      </c>
      <c r="F66" s="45">
        <v>0</v>
      </c>
      <c r="G66" s="45">
        <v>0</v>
      </c>
      <c r="H66" s="45">
        <v>0</v>
      </c>
      <c r="I66" s="45">
        <v>0</v>
      </c>
      <c r="J66" s="45">
        <v>0</v>
      </c>
      <c r="K66" s="45">
        <v>0</v>
      </c>
      <c r="L66" s="45">
        <v>0</v>
      </c>
      <c r="M66" s="45">
        <v>0</v>
      </c>
      <c r="N66" s="45">
        <v>0</v>
      </c>
      <c r="O66" s="45">
        <v>0</v>
      </c>
      <c r="P66" s="45">
        <v>0</v>
      </c>
      <c r="Q66" s="45">
        <v>0</v>
      </c>
      <c r="R66" s="45">
        <v>0</v>
      </c>
      <c r="S66" s="45">
        <v>0</v>
      </c>
      <c r="T66" s="45">
        <v>0</v>
      </c>
      <c r="U66" s="45">
        <v>0</v>
      </c>
      <c r="V66" s="45">
        <v>0</v>
      </c>
      <c r="W66" s="45">
        <v>0</v>
      </c>
      <c r="X66" s="45">
        <v>0</v>
      </c>
      <c r="Y66" s="45">
        <v>0</v>
      </c>
      <c r="Z66" s="45">
        <v>0</v>
      </c>
      <c r="AA66" s="45">
        <v>0</v>
      </c>
      <c r="AB66" s="45">
        <v>0</v>
      </c>
      <c r="AC66" s="45">
        <v>0</v>
      </c>
      <c r="AD66" s="45">
        <v>0</v>
      </c>
      <c r="AE66" s="45">
        <v>0</v>
      </c>
      <c r="AF66" s="45">
        <v>0</v>
      </c>
      <c r="AG66" s="45">
        <v>0</v>
      </c>
      <c r="AH66" s="45">
        <v>0</v>
      </c>
      <c r="AI66" s="45">
        <v>0</v>
      </c>
      <c r="AJ66" s="45">
        <v>0</v>
      </c>
      <c r="AK66" s="45">
        <v>0</v>
      </c>
      <c r="AL66" s="45">
        <v>0</v>
      </c>
      <c r="AM66" s="45">
        <v>0</v>
      </c>
      <c r="AN66" s="45">
        <v>0</v>
      </c>
      <c r="AO66" s="45">
        <v>0</v>
      </c>
      <c r="AP66" s="45">
        <v>0</v>
      </c>
      <c r="AQ66" s="45">
        <v>0</v>
      </c>
      <c r="AR66" s="45">
        <v>0</v>
      </c>
      <c r="AS66" s="45">
        <v>0</v>
      </c>
      <c r="AT66" s="45">
        <v>0</v>
      </c>
      <c r="AU66" s="45">
        <v>0</v>
      </c>
      <c r="AV66" s="45">
        <v>0</v>
      </c>
      <c r="AW66" s="45">
        <v>0</v>
      </c>
      <c r="AX66" s="45">
        <v>0</v>
      </c>
      <c r="AY66" s="45">
        <v>0</v>
      </c>
      <c r="AZ66" s="45">
        <v>0</v>
      </c>
      <c r="BA66" s="45">
        <v>0</v>
      </c>
      <c r="BB66" s="10">
        <v>0</v>
      </c>
    </row>
    <row r="67" spans="1:54">
      <c r="A67" t="s" s="212">
        <v>517</v>
      </c>
      <c r="B67" s="294"/>
      <c r="C67" s="291"/>
      <c r="D67" t="s" s="122">
        <v>487</v>
      </c>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row>
    <row r="68" spans="1:54">
      <c r="A68" t="s" s="212">
        <v>1771</v>
      </c>
      <c r="B68" s="294"/>
      <c r="C68" s="291"/>
      <c r="D68" t="s" s="122">
        <v>1967</v>
      </c>
      <c r="E68" s="241">
        <v>0</v>
      </c>
      <c r="F68" s="241">
        <v>0</v>
      </c>
      <c r="G68" s="241">
        <v>0</v>
      </c>
      <c r="H68" s="241">
        <v>0</v>
      </c>
      <c r="I68" s="241">
        <v>0</v>
      </c>
      <c r="J68" s="241">
        <v>0</v>
      </c>
      <c r="K68" s="241">
        <v>0</v>
      </c>
      <c r="L68" s="241">
        <v>0</v>
      </c>
      <c r="M68" s="241">
        <v>0</v>
      </c>
      <c r="N68" s="241">
        <v>0</v>
      </c>
      <c r="O68" s="241">
        <v>0</v>
      </c>
      <c r="P68" s="241">
        <v>0</v>
      </c>
      <c r="Q68" s="241">
        <v>0</v>
      </c>
      <c r="R68" s="241">
        <v>0</v>
      </c>
      <c r="S68" s="241">
        <v>0</v>
      </c>
      <c r="T68" s="241">
        <v>0</v>
      </c>
      <c r="U68" s="241">
        <v>0</v>
      </c>
      <c r="V68" s="241">
        <v>0</v>
      </c>
      <c r="W68" s="241">
        <v>0</v>
      </c>
      <c r="X68" s="241">
        <v>0</v>
      </c>
      <c r="Y68" s="241">
        <v>0</v>
      </c>
      <c r="Z68" s="241">
        <v>0</v>
      </c>
      <c r="AA68" s="241">
        <v>0</v>
      </c>
      <c r="AB68" s="241">
        <v>0</v>
      </c>
      <c r="AC68" s="241">
        <v>0</v>
      </c>
      <c r="AD68" s="241">
        <v>0</v>
      </c>
      <c r="AE68" s="241">
        <v>0</v>
      </c>
      <c r="AF68" s="241">
        <v>0</v>
      </c>
      <c r="AG68" s="241">
        <v>0</v>
      </c>
      <c r="AH68" s="241">
        <v>0</v>
      </c>
      <c r="AI68" s="241">
        <v>0</v>
      </c>
      <c r="AJ68" s="241">
        <v>0</v>
      </c>
      <c r="AK68" s="241">
        <v>0</v>
      </c>
      <c r="AL68" s="241">
        <v>0</v>
      </c>
      <c r="AM68" s="241">
        <v>0</v>
      </c>
      <c r="AN68" s="241">
        <v>0</v>
      </c>
      <c r="AO68" s="241">
        <v>0</v>
      </c>
      <c r="AP68" s="241">
        <v>0</v>
      </c>
      <c r="AQ68" s="241">
        <v>0</v>
      </c>
      <c r="AR68" s="241">
        <v>0</v>
      </c>
      <c r="AS68" s="241">
        <v>0</v>
      </c>
      <c r="AT68" s="241">
        <v>0</v>
      </c>
      <c r="AU68" s="241">
        <v>0</v>
      </c>
      <c r="AV68" s="241">
        <v>0</v>
      </c>
      <c r="AW68" s="241">
        <v>0</v>
      </c>
      <c r="AX68" s="241">
        <v>0</v>
      </c>
      <c r="AY68" s="241">
        <v>0</v>
      </c>
      <c r="AZ68" s="241">
        <v>0</v>
      </c>
      <c r="BA68" s="241">
        <v>0</v>
      </c>
      <c r="BB68" s="27">
        <v>0</v>
      </c>
    </row>
    <row r="69" spans="1:54">
      <c r="A69" t="s" s="212">
        <v>1355</v>
      </c>
      <c r="B69" s="294"/>
      <c r="C69" s="291"/>
      <c r="D69" t="s" s="122">
        <v>289</v>
      </c>
      <c r="E69" s="241">
        <v>0</v>
      </c>
      <c r="F69" s="241">
        <v>0</v>
      </c>
      <c r="G69" s="241">
        <v>0</v>
      </c>
      <c r="H69" s="241">
        <v>0</v>
      </c>
      <c r="I69" s="241">
        <v>0</v>
      </c>
      <c r="J69" s="241">
        <v>0</v>
      </c>
      <c r="K69" s="241">
        <v>0</v>
      </c>
      <c r="L69" s="241">
        <v>0</v>
      </c>
      <c r="M69" s="241">
        <v>0</v>
      </c>
      <c r="N69" s="241">
        <v>0</v>
      </c>
      <c r="O69" s="241">
        <v>0</v>
      </c>
      <c r="P69" s="241">
        <v>0</v>
      </c>
      <c r="Q69" s="241">
        <v>0</v>
      </c>
      <c r="R69" s="241">
        <v>0</v>
      </c>
      <c r="S69" s="241">
        <v>0</v>
      </c>
      <c r="T69" s="241">
        <v>0</v>
      </c>
      <c r="U69" s="241">
        <v>0</v>
      </c>
      <c r="V69" s="241">
        <v>0</v>
      </c>
      <c r="W69" s="241">
        <v>0</v>
      </c>
      <c r="X69" s="241">
        <v>0</v>
      </c>
      <c r="Y69" s="241">
        <v>0</v>
      </c>
      <c r="Z69" s="241">
        <v>0</v>
      </c>
      <c r="AA69" s="241">
        <v>0</v>
      </c>
      <c r="AB69" s="241">
        <v>0</v>
      </c>
      <c r="AC69" s="241">
        <v>0</v>
      </c>
      <c r="AD69" s="241">
        <v>0</v>
      </c>
      <c r="AE69" s="241">
        <v>0</v>
      </c>
      <c r="AF69" s="241">
        <v>0</v>
      </c>
      <c r="AG69" s="241">
        <v>0</v>
      </c>
      <c r="AH69" s="241">
        <v>0</v>
      </c>
      <c r="AI69" s="241">
        <v>0</v>
      </c>
      <c r="AJ69" s="241">
        <v>0</v>
      </c>
      <c r="AK69" s="241">
        <v>0</v>
      </c>
      <c r="AL69" s="241">
        <v>0</v>
      </c>
      <c r="AM69" s="241">
        <v>0</v>
      </c>
      <c r="AN69" s="241">
        <v>0</v>
      </c>
      <c r="AO69" s="241">
        <v>0</v>
      </c>
      <c r="AP69" s="241">
        <v>0</v>
      </c>
      <c r="AQ69" s="241">
        <v>0</v>
      </c>
      <c r="AR69" s="241">
        <v>0</v>
      </c>
      <c r="AS69" s="241">
        <v>0</v>
      </c>
      <c r="AT69" s="241">
        <v>0</v>
      </c>
      <c r="AU69" s="241">
        <v>0</v>
      </c>
      <c r="AV69" s="241">
        <v>0</v>
      </c>
      <c r="AW69" s="241">
        <v>0</v>
      </c>
      <c r="AX69" s="241">
        <v>0</v>
      </c>
      <c r="AY69" s="241">
        <v>0</v>
      </c>
      <c r="AZ69" s="241">
        <v>0</v>
      </c>
      <c r="BA69" s="241">
        <v>0</v>
      </c>
      <c r="BB69" s="27">
        <v>0</v>
      </c>
    </row>
    <row r="70" spans="1:54" ht="16" thickBot="1">
      <c r="A70" t="s" s="212">
        <v>1505</v>
      </c>
      <c r="B70" s="294"/>
      <c r="C70" s="291"/>
      <c r="D70" t="s" s="1">
        <v>1968</v>
      </c>
      <c r="E70" s="244">
        <v>0</v>
      </c>
      <c r="F70" s="244">
        <v>0</v>
      </c>
      <c r="G70" s="244">
        <v>0</v>
      </c>
      <c r="H70" s="244">
        <v>0</v>
      </c>
      <c r="I70" s="244">
        <v>0</v>
      </c>
      <c r="J70" s="244">
        <v>0</v>
      </c>
      <c r="K70" s="244">
        <v>0</v>
      </c>
      <c r="L70" s="244">
        <v>0</v>
      </c>
      <c r="M70" s="244">
        <v>0</v>
      </c>
      <c r="N70" s="244">
        <v>0</v>
      </c>
      <c r="O70" s="244">
        <v>0</v>
      </c>
      <c r="P70" s="244">
        <v>0</v>
      </c>
      <c r="Q70" s="244">
        <v>0</v>
      </c>
      <c r="R70" s="244">
        <v>0</v>
      </c>
      <c r="S70" s="244">
        <v>0</v>
      </c>
      <c r="T70" s="244">
        <v>0</v>
      </c>
      <c r="U70" s="244">
        <v>0</v>
      </c>
      <c r="V70" s="244">
        <v>0</v>
      </c>
      <c r="W70" s="244">
        <v>0</v>
      </c>
      <c r="X70" s="244">
        <v>0</v>
      </c>
      <c r="Y70" s="244">
        <v>0</v>
      </c>
      <c r="Z70" s="244">
        <v>0</v>
      </c>
      <c r="AA70" s="244">
        <v>0</v>
      </c>
      <c r="AB70" s="244">
        <v>0</v>
      </c>
      <c r="AC70" s="244">
        <v>0</v>
      </c>
      <c r="AD70" s="244">
        <v>0</v>
      </c>
      <c r="AE70" s="244">
        <v>0</v>
      </c>
      <c r="AF70" s="244">
        <v>0</v>
      </c>
      <c r="AG70" s="244">
        <v>0</v>
      </c>
      <c r="AH70" s="244">
        <v>0</v>
      </c>
      <c r="AI70" s="244">
        <v>0</v>
      </c>
      <c r="AJ70" s="244">
        <v>0</v>
      </c>
      <c r="AK70" s="244">
        <v>0</v>
      </c>
      <c r="AL70" s="244">
        <v>0</v>
      </c>
      <c r="AM70" s="244">
        <v>0</v>
      </c>
      <c r="AN70" s="244">
        <v>0</v>
      </c>
      <c r="AO70" s="244">
        <v>0</v>
      </c>
      <c r="AP70" s="244">
        <v>0</v>
      </c>
      <c r="AQ70" s="244">
        <v>0</v>
      </c>
      <c r="AR70" s="244">
        <v>0</v>
      </c>
      <c r="AS70" s="244">
        <v>0</v>
      </c>
      <c r="AT70" s="244">
        <v>0</v>
      </c>
      <c r="AU70" s="244">
        <v>0</v>
      </c>
      <c r="AV70" s="244">
        <v>0</v>
      </c>
      <c r="AW70" s="244">
        <v>0</v>
      </c>
      <c r="AX70" s="244">
        <v>0</v>
      </c>
      <c r="AY70" s="244">
        <v>0</v>
      </c>
      <c r="AZ70" s="244">
        <v>0</v>
      </c>
      <c r="BA70" s="244">
        <v>0</v>
      </c>
      <c r="BB70" s="164">
        <v>0</v>
      </c>
    </row>
    <row r="71" spans="1:54">
      <c r="A71" t="s" s="212">
        <v>1638</v>
      </c>
      <c r="B71" s="294"/>
      <c r="C71" s="291"/>
      <c r="D71" t="s" s="4">
        <v>197</v>
      </c>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N71" s="235"/>
      <c r="AO71" s="235"/>
      <c r="AP71" s="235"/>
      <c r="AQ71" s="235"/>
      <c r="AR71" s="235"/>
      <c r="AS71" s="235"/>
      <c r="AT71" s="235"/>
      <c r="AU71" s="235"/>
      <c r="AV71" s="235"/>
      <c r="AW71" s="235"/>
      <c r="AX71" s="235"/>
      <c r="AY71" s="235"/>
      <c r="AZ71" s="235"/>
      <c r="BA71" s="235"/>
      <c r="BB71" s="84"/>
    </row>
    <row r="72" spans="1:54">
      <c r="A72" t="s" s="212">
        <v>1319</v>
      </c>
      <c r="B72" s="294"/>
      <c r="C72" s="291"/>
      <c r="D72" t="s" s="188">
        <v>466</v>
      </c>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10"/>
    </row>
    <row r="73" spans="1:54">
      <c r="A73" t="s" s="212">
        <v>804</v>
      </c>
      <c r="B73" s="294"/>
      <c r="C73" s="291"/>
      <c r="D73" t="s" s="188">
        <v>1374</v>
      </c>
      <c r="E73" s="45">
        <v>0</v>
      </c>
      <c r="F73" s="45">
        <v>0</v>
      </c>
      <c r="G73" s="45">
        <v>0</v>
      </c>
      <c r="H73" s="45">
        <v>0</v>
      </c>
      <c r="I73" s="45">
        <v>0</v>
      </c>
      <c r="J73" s="45">
        <v>0</v>
      </c>
      <c r="K73" s="45">
        <v>0</v>
      </c>
      <c r="L73" s="45">
        <v>0</v>
      </c>
      <c r="M73" s="45">
        <v>0</v>
      </c>
      <c r="N73" s="45">
        <v>0</v>
      </c>
      <c r="O73" s="45">
        <v>0</v>
      </c>
      <c r="P73" s="45">
        <v>0</v>
      </c>
      <c r="Q73" s="45">
        <v>0</v>
      </c>
      <c r="R73" s="45">
        <v>0</v>
      </c>
      <c r="S73" s="45">
        <v>0</v>
      </c>
      <c r="T73" s="45">
        <v>0</v>
      </c>
      <c r="U73" s="45">
        <v>0</v>
      </c>
      <c r="V73" s="45">
        <v>0</v>
      </c>
      <c r="W73" s="45">
        <v>0</v>
      </c>
      <c r="X73" s="45">
        <v>0</v>
      </c>
      <c r="Y73" s="45">
        <v>0</v>
      </c>
      <c r="Z73" s="45">
        <v>0</v>
      </c>
      <c r="AA73" s="45">
        <v>0</v>
      </c>
      <c r="AB73" s="45">
        <v>0</v>
      </c>
      <c r="AC73" s="45">
        <v>0</v>
      </c>
      <c r="AD73" s="45">
        <v>0</v>
      </c>
      <c r="AE73" s="45">
        <v>0</v>
      </c>
      <c r="AF73" s="45">
        <v>0</v>
      </c>
      <c r="AG73" s="45">
        <v>0</v>
      </c>
      <c r="AH73" s="45">
        <v>0</v>
      </c>
      <c r="AI73" s="45">
        <v>0</v>
      </c>
      <c r="AJ73" s="45">
        <v>0</v>
      </c>
      <c r="AK73" s="45">
        <v>0</v>
      </c>
      <c r="AL73" s="45">
        <v>0</v>
      </c>
      <c r="AM73" s="45">
        <v>0</v>
      </c>
      <c r="AN73" s="45">
        <v>0</v>
      </c>
      <c r="AO73" s="45">
        <v>0</v>
      </c>
      <c r="AP73" s="45">
        <v>0</v>
      </c>
      <c r="AQ73" s="45">
        <v>0</v>
      </c>
      <c r="AR73" s="45">
        <v>0</v>
      </c>
      <c r="AS73" s="45">
        <v>0</v>
      </c>
      <c r="AT73" s="45">
        <v>0</v>
      </c>
      <c r="AU73" s="45">
        <v>0</v>
      </c>
      <c r="AV73" s="45">
        <v>0</v>
      </c>
      <c r="AW73" s="45">
        <v>0</v>
      </c>
      <c r="AX73" s="45">
        <v>0</v>
      </c>
      <c r="AY73" s="45">
        <v>0</v>
      </c>
      <c r="AZ73" s="45">
        <v>0</v>
      </c>
      <c r="BA73" s="45">
        <v>0</v>
      </c>
      <c r="BB73" s="10">
        <v>0</v>
      </c>
    </row>
    <row r="74" spans="1:54">
      <c r="A74" t="s" s="212">
        <v>1762</v>
      </c>
      <c r="B74" s="294"/>
      <c r="C74" s="291"/>
      <c r="D74" t="s" s="122">
        <v>1585</v>
      </c>
      <c r="E74" s="71">
        <v>0</v>
      </c>
      <c r="F74" s="71">
        <v>0</v>
      </c>
      <c r="G74" s="71">
        <v>0</v>
      </c>
      <c r="H74" s="71">
        <v>0</v>
      </c>
      <c r="I74" s="71">
        <v>0</v>
      </c>
      <c r="J74" s="71">
        <v>0</v>
      </c>
      <c r="K74" s="71">
        <v>0</v>
      </c>
      <c r="L74" s="71">
        <v>0</v>
      </c>
      <c r="M74" s="71">
        <v>0</v>
      </c>
      <c r="N74" s="71">
        <v>0</v>
      </c>
      <c r="O74" s="71">
        <v>0</v>
      </c>
      <c r="P74" s="71">
        <v>0</v>
      </c>
      <c r="Q74" s="71">
        <v>0</v>
      </c>
      <c r="R74" s="71">
        <v>0</v>
      </c>
      <c r="S74" s="71">
        <v>0</v>
      </c>
      <c r="T74" s="71">
        <v>0</v>
      </c>
      <c r="U74" s="71">
        <v>0</v>
      </c>
      <c r="V74" s="71">
        <v>0</v>
      </c>
      <c r="W74" s="71">
        <v>0</v>
      </c>
      <c r="X74" s="71">
        <v>0</v>
      </c>
      <c r="Y74" s="71">
        <v>0</v>
      </c>
      <c r="Z74" s="71">
        <v>0</v>
      </c>
      <c r="AA74" s="71">
        <v>0</v>
      </c>
      <c r="AB74" s="71">
        <v>0</v>
      </c>
      <c r="AC74" s="71">
        <v>0</v>
      </c>
      <c r="AD74" s="71">
        <v>0</v>
      </c>
      <c r="AE74" s="71">
        <v>0</v>
      </c>
      <c r="AF74" s="71">
        <v>0</v>
      </c>
      <c r="AG74" s="71">
        <v>0</v>
      </c>
      <c r="AH74" s="71">
        <v>0</v>
      </c>
      <c r="AI74" s="71">
        <v>0</v>
      </c>
      <c r="AJ74" s="71">
        <v>0</v>
      </c>
      <c r="AK74" s="71">
        <v>0</v>
      </c>
      <c r="AL74" s="71">
        <v>0</v>
      </c>
      <c r="AM74" s="71">
        <v>0</v>
      </c>
      <c r="AN74" s="71">
        <v>0</v>
      </c>
      <c r="AO74" s="71">
        <v>0</v>
      </c>
      <c r="AP74" s="71">
        <v>0</v>
      </c>
      <c r="AQ74" s="71">
        <v>0</v>
      </c>
      <c r="AR74" s="71">
        <v>0</v>
      </c>
      <c r="AS74" s="71">
        <v>0</v>
      </c>
      <c r="AT74" s="71">
        <v>0</v>
      </c>
      <c r="AU74" s="71">
        <v>0</v>
      </c>
      <c r="AV74" s="71">
        <v>0</v>
      </c>
      <c r="AW74" s="71">
        <v>0</v>
      </c>
      <c r="AX74" s="71">
        <v>0</v>
      </c>
      <c r="AY74" s="71">
        <v>0</v>
      </c>
      <c r="AZ74" s="71">
        <v>0</v>
      </c>
      <c r="BA74" s="71">
        <v>0</v>
      </c>
      <c r="BB74" s="48">
        <v>0</v>
      </c>
    </row>
    <row r="75" spans="1:54">
      <c r="A75" t="s" s="212">
        <v>1803</v>
      </c>
      <c r="B75" s="294"/>
      <c r="C75" s="291"/>
      <c r="D75" t="s" s="122">
        <v>674</v>
      </c>
      <c r="E75" s="45">
        <v>0</v>
      </c>
      <c r="F75" s="45">
        <v>0</v>
      </c>
      <c r="G75" s="45">
        <v>0</v>
      </c>
      <c r="H75" s="45">
        <v>0</v>
      </c>
      <c r="I75" s="45">
        <v>0</v>
      </c>
      <c r="J75" s="45">
        <v>0</v>
      </c>
      <c r="K75" s="45">
        <v>0</v>
      </c>
      <c r="L75" s="45">
        <v>0</v>
      </c>
      <c r="M75" s="45">
        <v>0</v>
      </c>
      <c r="N75" s="45">
        <v>0</v>
      </c>
      <c r="O75" s="45">
        <v>0</v>
      </c>
      <c r="P75" s="45">
        <v>0</v>
      </c>
      <c r="Q75" s="45">
        <v>0</v>
      </c>
      <c r="R75" s="45">
        <v>0</v>
      </c>
      <c r="S75" s="45">
        <v>0</v>
      </c>
      <c r="T75" s="45">
        <v>0</v>
      </c>
      <c r="U75" s="45">
        <v>0</v>
      </c>
      <c r="V75" s="45">
        <v>0</v>
      </c>
      <c r="W75" s="45">
        <v>0</v>
      </c>
      <c r="X75" s="45">
        <v>0</v>
      </c>
      <c r="Y75" s="45">
        <v>0</v>
      </c>
      <c r="Z75" s="45">
        <v>0</v>
      </c>
      <c r="AA75" s="45">
        <v>0</v>
      </c>
      <c r="AB75" s="45">
        <v>0</v>
      </c>
      <c r="AC75" s="45">
        <v>0</v>
      </c>
      <c r="AD75" s="45">
        <v>0</v>
      </c>
      <c r="AE75" s="45">
        <v>0</v>
      </c>
      <c r="AF75" s="45">
        <v>0</v>
      </c>
      <c r="AG75" s="45">
        <v>0</v>
      </c>
      <c r="AH75" s="45">
        <v>0</v>
      </c>
      <c r="AI75" s="45">
        <v>0</v>
      </c>
      <c r="AJ75" s="45">
        <v>0</v>
      </c>
      <c r="AK75" s="45">
        <v>0</v>
      </c>
      <c r="AL75" s="45">
        <v>0</v>
      </c>
      <c r="AM75" s="45">
        <v>0</v>
      </c>
      <c r="AN75" s="45">
        <v>0</v>
      </c>
      <c r="AO75" s="45">
        <v>0</v>
      </c>
      <c r="AP75" s="45">
        <v>0</v>
      </c>
      <c r="AQ75" s="45">
        <v>0</v>
      </c>
      <c r="AR75" s="45">
        <v>0</v>
      </c>
      <c r="AS75" s="45">
        <v>0</v>
      </c>
      <c r="AT75" s="45">
        <v>0</v>
      </c>
      <c r="AU75" s="45">
        <v>0</v>
      </c>
      <c r="AV75" s="45">
        <v>0</v>
      </c>
      <c r="AW75" s="45">
        <v>0</v>
      </c>
      <c r="AX75" s="45">
        <v>0</v>
      </c>
      <c r="AY75" s="45">
        <v>0</v>
      </c>
      <c r="AZ75" s="45">
        <v>0</v>
      </c>
      <c r="BA75" s="45">
        <v>0</v>
      </c>
      <c r="BB75" s="10">
        <v>0</v>
      </c>
    </row>
    <row r="76" spans="1:54">
      <c r="A76" t="s" s="212">
        <v>577</v>
      </c>
      <c r="B76" s="294"/>
      <c r="C76" s="291"/>
      <c r="D76" t="s" s="122">
        <v>400</v>
      </c>
      <c r="E76" s="45">
        <v>0</v>
      </c>
      <c r="F76" s="45">
        <v>0</v>
      </c>
      <c r="G76" s="45">
        <v>0</v>
      </c>
      <c r="H76" s="45">
        <v>0</v>
      </c>
      <c r="I76" s="45">
        <v>0</v>
      </c>
      <c r="J76" s="45">
        <v>0</v>
      </c>
      <c r="K76" s="45">
        <v>0</v>
      </c>
      <c r="L76" s="45">
        <v>0</v>
      </c>
      <c r="M76" s="45">
        <v>0</v>
      </c>
      <c r="N76" s="45">
        <v>0</v>
      </c>
      <c r="O76" s="45">
        <v>0</v>
      </c>
      <c r="P76" s="45">
        <v>0</v>
      </c>
      <c r="Q76" s="45">
        <v>0</v>
      </c>
      <c r="R76" s="45">
        <v>0</v>
      </c>
      <c r="S76" s="45">
        <v>0</v>
      </c>
      <c r="T76" s="45">
        <v>0</v>
      </c>
      <c r="U76" s="45">
        <v>0</v>
      </c>
      <c r="V76" s="45">
        <v>0</v>
      </c>
      <c r="W76" s="45">
        <v>0</v>
      </c>
      <c r="X76" s="45">
        <v>0</v>
      </c>
      <c r="Y76" s="45">
        <v>0</v>
      </c>
      <c r="Z76" s="45">
        <v>0</v>
      </c>
      <c r="AA76" s="45">
        <v>0</v>
      </c>
      <c r="AB76" s="45">
        <v>0</v>
      </c>
      <c r="AC76" s="45">
        <v>0</v>
      </c>
      <c r="AD76" s="45">
        <v>0</v>
      </c>
      <c r="AE76" s="45">
        <v>0</v>
      </c>
      <c r="AF76" s="45">
        <v>0</v>
      </c>
      <c r="AG76" s="45">
        <v>0</v>
      </c>
      <c r="AH76" s="45">
        <v>0</v>
      </c>
      <c r="AI76" s="45">
        <v>0</v>
      </c>
      <c r="AJ76" s="45">
        <v>0</v>
      </c>
      <c r="AK76" s="45">
        <v>0</v>
      </c>
      <c r="AL76" s="45">
        <v>0</v>
      </c>
      <c r="AM76" s="45">
        <v>0</v>
      </c>
      <c r="AN76" s="45">
        <v>0</v>
      </c>
      <c r="AO76" s="45">
        <v>0</v>
      </c>
      <c r="AP76" s="45">
        <v>0</v>
      </c>
      <c r="AQ76" s="45">
        <v>0</v>
      </c>
      <c r="AR76" s="45">
        <v>0</v>
      </c>
      <c r="AS76" s="45">
        <v>0</v>
      </c>
      <c r="AT76" s="45">
        <v>0</v>
      </c>
      <c r="AU76" s="45">
        <v>0</v>
      </c>
      <c r="AV76" s="45">
        <v>0</v>
      </c>
      <c r="AW76" s="45">
        <v>0</v>
      </c>
      <c r="AX76" s="45">
        <v>0</v>
      </c>
      <c r="AY76" s="45">
        <v>0</v>
      </c>
      <c r="AZ76" s="45">
        <v>0</v>
      </c>
      <c r="BA76" s="45">
        <v>0</v>
      </c>
      <c r="BB76" s="10">
        <v>0</v>
      </c>
    </row>
    <row r="77" spans="1:54">
      <c r="A77" t="s" s="212">
        <v>738</v>
      </c>
      <c r="B77" s="294"/>
      <c r="C77" s="291"/>
      <c r="D77" t="s" s="122">
        <v>406</v>
      </c>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row>
    <row r="78" spans="1:54">
      <c r="A78" t="s" s="212">
        <v>435</v>
      </c>
      <c r="B78" s="294"/>
      <c r="C78" s="291"/>
      <c r="D78" t="s" s="122">
        <v>1969</v>
      </c>
      <c r="E78" s="241">
        <v>0</v>
      </c>
      <c r="F78" s="241">
        <v>0</v>
      </c>
      <c r="G78" s="241">
        <v>0</v>
      </c>
      <c r="H78" s="241">
        <v>0</v>
      </c>
      <c r="I78" s="241">
        <v>0</v>
      </c>
      <c r="J78" s="241">
        <v>0</v>
      </c>
      <c r="K78" s="241">
        <v>0</v>
      </c>
      <c r="L78" s="241">
        <v>0</v>
      </c>
      <c r="M78" s="241">
        <v>0</v>
      </c>
      <c r="N78" s="241">
        <v>0</v>
      </c>
      <c r="O78" s="241">
        <v>0</v>
      </c>
      <c r="P78" s="241">
        <v>0</v>
      </c>
      <c r="Q78" s="241">
        <v>0</v>
      </c>
      <c r="R78" s="241">
        <v>0</v>
      </c>
      <c r="S78" s="241">
        <v>0</v>
      </c>
      <c r="T78" s="241">
        <v>0</v>
      </c>
      <c r="U78" s="241">
        <v>0</v>
      </c>
      <c r="V78" s="241">
        <v>0</v>
      </c>
      <c r="W78" s="241">
        <v>0</v>
      </c>
      <c r="X78" s="241">
        <v>0</v>
      </c>
      <c r="Y78" s="241">
        <v>0</v>
      </c>
      <c r="Z78" s="241">
        <v>0</v>
      </c>
      <c r="AA78" s="241">
        <v>0</v>
      </c>
      <c r="AB78" s="241">
        <v>0</v>
      </c>
      <c r="AC78" s="241">
        <v>0</v>
      </c>
      <c r="AD78" s="241">
        <v>0</v>
      </c>
      <c r="AE78" s="241">
        <v>0</v>
      </c>
      <c r="AF78" s="241">
        <v>0</v>
      </c>
      <c r="AG78" s="241">
        <v>0</v>
      </c>
      <c r="AH78" s="241">
        <v>0</v>
      </c>
      <c r="AI78" s="241">
        <v>0</v>
      </c>
      <c r="AJ78" s="241">
        <v>0</v>
      </c>
      <c r="AK78" s="241">
        <v>0</v>
      </c>
      <c r="AL78" s="241">
        <v>0</v>
      </c>
      <c r="AM78" s="241">
        <v>0</v>
      </c>
      <c r="AN78" s="241">
        <v>0</v>
      </c>
      <c r="AO78" s="241">
        <v>0</v>
      </c>
      <c r="AP78" s="241">
        <v>0</v>
      </c>
      <c r="AQ78" s="241">
        <v>0</v>
      </c>
      <c r="AR78" s="241">
        <v>0</v>
      </c>
      <c r="AS78" s="241">
        <v>0</v>
      </c>
      <c r="AT78" s="241">
        <v>0</v>
      </c>
      <c r="AU78" s="241">
        <v>0</v>
      </c>
      <c r="AV78" s="241">
        <v>0</v>
      </c>
      <c r="AW78" s="241">
        <v>0</v>
      </c>
      <c r="AX78" s="241">
        <v>0</v>
      </c>
      <c r="AY78" s="241">
        <v>0</v>
      </c>
      <c r="AZ78" s="241">
        <v>0</v>
      </c>
      <c r="BA78" s="241">
        <v>0</v>
      </c>
      <c r="BB78" s="27">
        <v>0</v>
      </c>
    </row>
    <row r="79" spans="1:54">
      <c r="A79" t="s" s="212">
        <v>526</v>
      </c>
      <c r="B79" s="294"/>
      <c r="C79" s="291"/>
      <c r="D79" t="s" s="122">
        <v>1523</v>
      </c>
      <c r="E79" s="241">
        <v>0</v>
      </c>
      <c r="F79" s="241">
        <v>0</v>
      </c>
      <c r="G79" s="241">
        <v>0</v>
      </c>
      <c r="H79" s="241">
        <v>0</v>
      </c>
      <c r="I79" s="241">
        <v>0</v>
      </c>
      <c r="J79" s="241">
        <v>0</v>
      </c>
      <c r="K79" s="241">
        <v>0</v>
      </c>
      <c r="L79" s="241">
        <v>0</v>
      </c>
      <c r="M79" s="241">
        <v>0</v>
      </c>
      <c r="N79" s="241">
        <v>0</v>
      </c>
      <c r="O79" s="241">
        <v>0</v>
      </c>
      <c r="P79" s="241">
        <v>0</v>
      </c>
      <c r="Q79" s="241">
        <v>0</v>
      </c>
      <c r="R79" s="241">
        <v>0</v>
      </c>
      <c r="S79" s="241">
        <v>0</v>
      </c>
      <c r="T79" s="241">
        <v>0</v>
      </c>
      <c r="U79" s="241">
        <v>0</v>
      </c>
      <c r="V79" s="241">
        <v>0</v>
      </c>
      <c r="W79" s="241">
        <v>0</v>
      </c>
      <c r="X79" s="241">
        <v>0</v>
      </c>
      <c r="Y79" s="241">
        <v>0</v>
      </c>
      <c r="Z79" s="241">
        <v>0</v>
      </c>
      <c r="AA79" s="241">
        <v>0</v>
      </c>
      <c r="AB79" s="241">
        <v>0</v>
      </c>
      <c r="AC79" s="241">
        <v>0</v>
      </c>
      <c r="AD79" s="241">
        <v>0</v>
      </c>
      <c r="AE79" s="241">
        <v>0</v>
      </c>
      <c r="AF79" s="241">
        <v>0</v>
      </c>
      <c r="AG79" s="241">
        <v>0</v>
      </c>
      <c r="AH79" s="241">
        <v>0</v>
      </c>
      <c r="AI79" s="241">
        <v>0</v>
      </c>
      <c r="AJ79" s="241">
        <v>0</v>
      </c>
      <c r="AK79" s="241">
        <v>0</v>
      </c>
      <c r="AL79" s="241">
        <v>0</v>
      </c>
      <c r="AM79" s="241">
        <v>0</v>
      </c>
      <c r="AN79" s="241">
        <v>0</v>
      </c>
      <c r="AO79" s="241">
        <v>0</v>
      </c>
      <c r="AP79" s="241">
        <v>0</v>
      </c>
      <c r="AQ79" s="241">
        <v>0</v>
      </c>
      <c r="AR79" s="241">
        <v>0</v>
      </c>
      <c r="AS79" s="241">
        <v>0</v>
      </c>
      <c r="AT79" s="241">
        <v>0</v>
      </c>
      <c r="AU79" s="241">
        <v>0</v>
      </c>
      <c r="AV79" s="241">
        <v>0</v>
      </c>
      <c r="AW79" s="241">
        <v>0</v>
      </c>
      <c r="AX79" s="241">
        <v>0</v>
      </c>
      <c r="AY79" s="241">
        <v>0</v>
      </c>
      <c r="AZ79" s="241">
        <v>0</v>
      </c>
      <c r="BA79" s="241">
        <v>0</v>
      </c>
      <c r="BB79" s="27">
        <v>0</v>
      </c>
    </row>
    <row r="80" spans="1:54" ht="16" thickBot="1">
      <c r="A80" t="s" s="212">
        <v>1846</v>
      </c>
      <c r="B80" s="294"/>
      <c r="C80" s="291"/>
      <c r="D80" t="s" s="1">
        <v>1970</v>
      </c>
      <c r="E80" s="244">
        <v>0</v>
      </c>
      <c r="F80" s="244">
        <v>0</v>
      </c>
      <c r="G80" s="244">
        <v>0</v>
      </c>
      <c r="H80" s="244">
        <v>0</v>
      </c>
      <c r="I80" s="244">
        <v>0</v>
      </c>
      <c r="J80" s="244">
        <v>0</v>
      </c>
      <c r="K80" s="244">
        <v>0</v>
      </c>
      <c r="L80" s="244">
        <v>0</v>
      </c>
      <c r="M80" s="244">
        <v>0</v>
      </c>
      <c r="N80" s="244">
        <v>0</v>
      </c>
      <c r="O80" s="244">
        <v>0</v>
      </c>
      <c r="P80" s="244">
        <v>0</v>
      </c>
      <c r="Q80" s="244">
        <v>0</v>
      </c>
      <c r="R80" s="244">
        <v>0</v>
      </c>
      <c r="S80" s="244">
        <v>0</v>
      </c>
      <c r="T80" s="244">
        <v>0</v>
      </c>
      <c r="U80" s="244">
        <v>0</v>
      </c>
      <c r="V80" s="244">
        <v>0</v>
      </c>
      <c r="W80" s="244">
        <v>0</v>
      </c>
      <c r="X80" s="244">
        <v>0</v>
      </c>
      <c r="Y80" s="244">
        <v>0</v>
      </c>
      <c r="Z80" s="244">
        <v>0</v>
      </c>
      <c r="AA80" s="244">
        <v>0</v>
      </c>
      <c r="AB80" s="244">
        <v>0</v>
      </c>
      <c r="AC80" s="244">
        <v>0</v>
      </c>
      <c r="AD80" s="244">
        <v>0</v>
      </c>
      <c r="AE80" s="244">
        <v>0</v>
      </c>
      <c r="AF80" s="244">
        <v>0</v>
      </c>
      <c r="AG80" s="244">
        <v>0</v>
      </c>
      <c r="AH80" s="244">
        <v>0</v>
      </c>
      <c r="AI80" s="244">
        <v>0</v>
      </c>
      <c r="AJ80" s="244">
        <v>0</v>
      </c>
      <c r="AK80" s="244">
        <v>0</v>
      </c>
      <c r="AL80" s="244">
        <v>0</v>
      </c>
      <c r="AM80" s="244">
        <v>0</v>
      </c>
      <c r="AN80" s="244">
        <v>0</v>
      </c>
      <c r="AO80" s="244">
        <v>0</v>
      </c>
      <c r="AP80" s="244">
        <v>0</v>
      </c>
      <c r="AQ80" s="244">
        <v>0</v>
      </c>
      <c r="AR80" s="244">
        <v>0</v>
      </c>
      <c r="AS80" s="244">
        <v>0</v>
      </c>
      <c r="AT80" s="244">
        <v>0</v>
      </c>
      <c r="AU80" s="244">
        <v>0</v>
      </c>
      <c r="AV80" s="244">
        <v>0</v>
      </c>
      <c r="AW80" s="244">
        <v>0</v>
      </c>
      <c r="AX80" s="244">
        <v>0</v>
      </c>
      <c r="AY80" s="244">
        <v>0</v>
      </c>
      <c r="AZ80" s="244">
        <v>0</v>
      </c>
      <c r="BA80" s="244">
        <v>0</v>
      </c>
      <c r="BB80" s="164">
        <v>0</v>
      </c>
    </row>
    <row r="81" spans="1:54">
      <c r="A81" t="s" s="212">
        <v>1388</v>
      </c>
      <c r="B81" s="294"/>
      <c r="C81" s="291"/>
      <c r="D81" t="s" s="4">
        <v>1133</v>
      </c>
      <c r="E81" s="235"/>
      <c r="F81" s="235"/>
      <c r="G81" s="235"/>
      <c r="H81" s="235"/>
      <c r="I81" s="235"/>
      <c r="J81" s="235"/>
      <c r="K81" s="235"/>
      <c r="L81" s="235"/>
      <c r="M81" s="235"/>
      <c r="N81" s="235"/>
      <c r="O81" s="235"/>
      <c r="P81" s="235"/>
      <c r="Q81" s="235"/>
      <c r="R81" s="235"/>
      <c r="S81" s="235"/>
      <c r="T81" s="235"/>
      <c r="U81" s="235"/>
      <c r="V81" s="235"/>
      <c r="W81" s="235"/>
      <c r="X81" s="235"/>
      <c r="Y81" s="235"/>
      <c r="Z81" s="235"/>
      <c r="AA81" s="235"/>
      <c r="AB81" s="235"/>
      <c r="AC81" s="235"/>
      <c r="AD81" s="235"/>
      <c r="AE81" s="235"/>
      <c r="AF81" s="235"/>
      <c r="AG81" s="235"/>
      <c r="AH81" s="235"/>
      <c r="AI81" s="235"/>
      <c r="AJ81" s="235"/>
      <c r="AK81" s="235"/>
      <c r="AL81" s="235"/>
      <c r="AM81" s="235"/>
      <c r="AN81" s="235"/>
      <c r="AO81" s="235"/>
      <c r="AP81" s="235"/>
      <c r="AQ81" s="235"/>
      <c r="AR81" s="235"/>
      <c r="AS81" s="235"/>
      <c r="AT81" s="235"/>
      <c r="AU81" s="235"/>
      <c r="AV81" s="235"/>
      <c r="AW81" s="235"/>
      <c r="AX81" s="235"/>
      <c r="AY81" s="235"/>
      <c r="AZ81" s="235"/>
      <c r="BA81" s="235"/>
      <c r="BB81" s="84"/>
    </row>
    <row r="82" spans="1:54">
      <c r="A82" t="s" s="212">
        <v>1332</v>
      </c>
      <c r="B82" s="294"/>
      <c r="C82" s="291"/>
      <c r="D82" t="s" s="188">
        <v>1864</v>
      </c>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10"/>
    </row>
    <row r="83" spans="1:54">
      <c r="A83" t="s" s="212">
        <v>1670</v>
      </c>
      <c r="B83" s="294"/>
      <c r="C83" s="291"/>
      <c r="D83" t="s" s="188">
        <v>841</v>
      </c>
      <c r="E83" s="45">
        <v>0</v>
      </c>
      <c r="F83" s="45">
        <v>0</v>
      </c>
      <c r="G83" s="45">
        <v>0</v>
      </c>
      <c r="H83" s="45">
        <v>0</v>
      </c>
      <c r="I83" s="45">
        <v>0</v>
      </c>
      <c r="J83" s="45">
        <v>0</v>
      </c>
      <c r="K83" s="45">
        <v>0</v>
      </c>
      <c r="L83" s="45">
        <v>0</v>
      </c>
      <c r="M83" s="45">
        <v>0</v>
      </c>
      <c r="N83" s="45">
        <v>0</v>
      </c>
      <c r="O83" s="45">
        <v>0</v>
      </c>
      <c r="P83" s="45">
        <v>0</v>
      </c>
      <c r="Q83" s="45">
        <v>0</v>
      </c>
      <c r="R83" s="45">
        <v>0</v>
      </c>
      <c r="S83" s="45">
        <v>0</v>
      </c>
      <c r="T83" s="45">
        <v>0</v>
      </c>
      <c r="U83" s="45">
        <v>0</v>
      </c>
      <c r="V83" s="45">
        <v>0</v>
      </c>
      <c r="W83" s="45">
        <v>0</v>
      </c>
      <c r="X83" s="45">
        <v>0</v>
      </c>
      <c r="Y83" s="45">
        <v>0</v>
      </c>
      <c r="Z83" s="45">
        <v>0</v>
      </c>
      <c r="AA83" s="45">
        <v>0</v>
      </c>
      <c r="AB83" s="45">
        <v>0</v>
      </c>
      <c r="AC83" s="45">
        <v>0</v>
      </c>
      <c r="AD83" s="45">
        <v>0</v>
      </c>
      <c r="AE83" s="45">
        <v>0</v>
      </c>
      <c r="AF83" s="45">
        <v>0</v>
      </c>
      <c r="AG83" s="45">
        <v>0</v>
      </c>
      <c r="AH83" s="45">
        <v>0</v>
      </c>
      <c r="AI83" s="45">
        <v>0</v>
      </c>
      <c r="AJ83" s="45">
        <v>0</v>
      </c>
      <c r="AK83" s="45">
        <v>0</v>
      </c>
      <c r="AL83" s="45">
        <v>0</v>
      </c>
      <c r="AM83" s="45">
        <v>0</v>
      </c>
      <c r="AN83" s="45">
        <v>0</v>
      </c>
      <c r="AO83" s="45">
        <v>0</v>
      </c>
      <c r="AP83" s="45">
        <v>0</v>
      </c>
      <c r="AQ83" s="45">
        <v>0</v>
      </c>
      <c r="AR83" s="45">
        <v>0</v>
      </c>
      <c r="AS83" s="45">
        <v>0</v>
      </c>
      <c r="AT83" s="45">
        <v>0</v>
      </c>
      <c r="AU83" s="45">
        <v>0</v>
      </c>
      <c r="AV83" s="45">
        <v>0</v>
      </c>
      <c r="AW83" s="45">
        <v>0</v>
      </c>
      <c r="AX83" s="45">
        <v>0</v>
      </c>
      <c r="AY83" s="45">
        <v>0</v>
      </c>
      <c r="AZ83" s="45">
        <v>0</v>
      </c>
      <c r="BA83" s="45">
        <v>0</v>
      </c>
      <c r="BB83" s="10">
        <v>0</v>
      </c>
    </row>
    <row r="84" spans="1:54">
      <c r="A84" t="s" s="212">
        <v>1177</v>
      </c>
      <c r="B84" s="294"/>
      <c r="C84" s="291"/>
      <c r="D84" t="s" s="122">
        <v>1497</v>
      </c>
      <c r="E84" s="71">
        <v>0</v>
      </c>
      <c r="F84" s="71">
        <v>0</v>
      </c>
      <c r="G84" s="71">
        <v>0</v>
      </c>
      <c r="H84" s="71">
        <v>0</v>
      </c>
      <c r="I84" s="71">
        <v>0</v>
      </c>
      <c r="J84" s="71">
        <v>0</v>
      </c>
      <c r="K84" s="71">
        <v>0</v>
      </c>
      <c r="L84" s="71">
        <v>0</v>
      </c>
      <c r="M84" s="71">
        <v>0</v>
      </c>
      <c r="N84" s="71">
        <v>0</v>
      </c>
      <c r="O84" s="71">
        <v>0</v>
      </c>
      <c r="P84" s="71">
        <v>0</v>
      </c>
      <c r="Q84" s="71">
        <v>0</v>
      </c>
      <c r="R84" s="71">
        <v>0</v>
      </c>
      <c r="S84" s="71">
        <v>0</v>
      </c>
      <c r="T84" s="71">
        <v>0</v>
      </c>
      <c r="U84" s="71">
        <v>0</v>
      </c>
      <c r="V84" s="71">
        <v>0</v>
      </c>
      <c r="W84" s="71">
        <v>0</v>
      </c>
      <c r="X84" s="71">
        <v>0</v>
      </c>
      <c r="Y84" s="71">
        <v>0</v>
      </c>
      <c r="Z84" s="71">
        <v>0</v>
      </c>
      <c r="AA84" s="71">
        <v>0</v>
      </c>
      <c r="AB84" s="71">
        <v>0</v>
      </c>
      <c r="AC84" s="71">
        <v>0</v>
      </c>
      <c r="AD84" s="71">
        <v>0</v>
      </c>
      <c r="AE84" s="71">
        <v>0</v>
      </c>
      <c r="AF84" s="71">
        <v>0</v>
      </c>
      <c r="AG84" s="71">
        <v>0</v>
      </c>
      <c r="AH84" s="71">
        <v>0</v>
      </c>
      <c r="AI84" s="71">
        <v>0</v>
      </c>
      <c r="AJ84" s="71">
        <v>0</v>
      </c>
      <c r="AK84" s="71">
        <v>0</v>
      </c>
      <c r="AL84" s="71">
        <v>0</v>
      </c>
      <c r="AM84" s="71">
        <v>0</v>
      </c>
      <c r="AN84" s="71">
        <v>0</v>
      </c>
      <c r="AO84" s="71">
        <v>0</v>
      </c>
      <c r="AP84" s="71">
        <v>0</v>
      </c>
      <c r="AQ84" s="71">
        <v>0</v>
      </c>
      <c r="AR84" s="71">
        <v>0</v>
      </c>
      <c r="AS84" s="71">
        <v>0</v>
      </c>
      <c r="AT84" s="71">
        <v>0</v>
      </c>
      <c r="AU84" s="71">
        <v>0</v>
      </c>
      <c r="AV84" s="71">
        <v>0</v>
      </c>
      <c r="AW84" s="71">
        <v>0</v>
      </c>
      <c r="AX84" s="71">
        <v>0</v>
      </c>
      <c r="AY84" s="71">
        <v>0</v>
      </c>
      <c r="AZ84" s="71">
        <v>0</v>
      </c>
      <c r="BA84" s="71">
        <v>0</v>
      </c>
      <c r="BB84" s="48">
        <v>0</v>
      </c>
    </row>
    <row r="85" spans="1:54">
      <c r="A85" t="s" s="212">
        <v>580</v>
      </c>
      <c r="B85" s="294"/>
      <c r="C85" s="291"/>
      <c r="D85" t="s" s="122">
        <v>707</v>
      </c>
      <c r="E85" s="45">
        <v>0</v>
      </c>
      <c r="F85" s="45">
        <v>0</v>
      </c>
      <c r="G85" s="45">
        <v>0</v>
      </c>
      <c r="H85" s="45">
        <v>0</v>
      </c>
      <c r="I85" s="45">
        <v>0</v>
      </c>
      <c r="J85" s="45">
        <v>0</v>
      </c>
      <c r="K85" s="45">
        <v>0</v>
      </c>
      <c r="L85" s="45">
        <v>0</v>
      </c>
      <c r="M85" s="45">
        <v>0</v>
      </c>
      <c r="N85" s="45">
        <v>0</v>
      </c>
      <c r="O85" s="45">
        <v>0</v>
      </c>
      <c r="P85" s="45">
        <v>0</v>
      </c>
      <c r="Q85" s="45">
        <v>0</v>
      </c>
      <c r="R85" s="45">
        <v>0</v>
      </c>
      <c r="S85" s="45">
        <v>0</v>
      </c>
      <c r="T85" s="45">
        <v>0</v>
      </c>
      <c r="U85" s="45">
        <v>0</v>
      </c>
      <c r="V85" s="45">
        <v>0</v>
      </c>
      <c r="W85" s="45">
        <v>0</v>
      </c>
      <c r="X85" s="45">
        <v>0</v>
      </c>
      <c r="Y85" s="45">
        <v>0</v>
      </c>
      <c r="Z85" s="45">
        <v>0</v>
      </c>
      <c r="AA85" s="45">
        <v>0</v>
      </c>
      <c r="AB85" s="45">
        <v>0</v>
      </c>
      <c r="AC85" s="45">
        <v>0</v>
      </c>
      <c r="AD85" s="45">
        <v>0</v>
      </c>
      <c r="AE85" s="45">
        <v>0</v>
      </c>
      <c r="AF85" s="45">
        <v>0</v>
      </c>
      <c r="AG85" s="45">
        <v>0</v>
      </c>
      <c r="AH85" s="45">
        <v>0</v>
      </c>
      <c r="AI85" s="45">
        <v>0</v>
      </c>
      <c r="AJ85" s="45">
        <v>0</v>
      </c>
      <c r="AK85" s="45">
        <v>0</v>
      </c>
      <c r="AL85" s="45">
        <v>0</v>
      </c>
      <c r="AM85" s="45">
        <v>0</v>
      </c>
      <c r="AN85" s="45">
        <v>0</v>
      </c>
      <c r="AO85" s="45">
        <v>0</v>
      </c>
      <c r="AP85" s="45">
        <v>0</v>
      </c>
      <c r="AQ85" s="45">
        <v>0</v>
      </c>
      <c r="AR85" s="45">
        <v>0</v>
      </c>
      <c r="AS85" s="45">
        <v>0</v>
      </c>
      <c r="AT85" s="45">
        <v>0</v>
      </c>
      <c r="AU85" s="45">
        <v>0</v>
      </c>
      <c r="AV85" s="45">
        <v>0</v>
      </c>
      <c r="AW85" s="45">
        <v>0</v>
      </c>
      <c r="AX85" s="45">
        <v>0</v>
      </c>
      <c r="AY85" s="45">
        <v>0</v>
      </c>
      <c r="AZ85" s="45">
        <v>0</v>
      </c>
      <c r="BA85" s="45">
        <v>0</v>
      </c>
      <c r="BB85" s="10">
        <v>0</v>
      </c>
    </row>
    <row r="86" spans="1:54">
      <c r="A86" t="s" s="212">
        <v>316</v>
      </c>
      <c r="B86" s="294"/>
      <c r="C86" s="291"/>
      <c r="D86" t="s" s="122">
        <v>327</v>
      </c>
      <c r="E86" s="45">
        <v>0</v>
      </c>
      <c r="F86" s="45">
        <v>0</v>
      </c>
      <c r="G86" s="45">
        <v>0</v>
      </c>
      <c r="H86" s="45">
        <v>0</v>
      </c>
      <c r="I86" s="45">
        <v>0</v>
      </c>
      <c r="J86" s="45">
        <v>0</v>
      </c>
      <c r="K86" s="45">
        <v>0</v>
      </c>
      <c r="L86" s="45">
        <v>0</v>
      </c>
      <c r="M86" s="45">
        <v>0</v>
      </c>
      <c r="N86" s="45">
        <v>0</v>
      </c>
      <c r="O86" s="45">
        <v>0</v>
      </c>
      <c r="P86" s="45">
        <v>0</v>
      </c>
      <c r="Q86" s="45">
        <v>0</v>
      </c>
      <c r="R86" s="45">
        <v>0</v>
      </c>
      <c r="S86" s="45">
        <v>0</v>
      </c>
      <c r="T86" s="45">
        <v>0</v>
      </c>
      <c r="U86" s="45">
        <v>0</v>
      </c>
      <c r="V86" s="45">
        <v>0</v>
      </c>
      <c r="W86" s="45">
        <v>0</v>
      </c>
      <c r="X86" s="45">
        <v>0</v>
      </c>
      <c r="Y86" s="45">
        <v>0</v>
      </c>
      <c r="Z86" s="45">
        <v>0</v>
      </c>
      <c r="AA86" s="45">
        <v>0</v>
      </c>
      <c r="AB86" s="45">
        <v>0</v>
      </c>
      <c r="AC86" s="45">
        <v>0</v>
      </c>
      <c r="AD86" s="45">
        <v>0</v>
      </c>
      <c r="AE86" s="45">
        <v>0</v>
      </c>
      <c r="AF86" s="45">
        <v>0</v>
      </c>
      <c r="AG86" s="45">
        <v>0</v>
      </c>
      <c r="AH86" s="45">
        <v>0</v>
      </c>
      <c r="AI86" s="45">
        <v>0</v>
      </c>
      <c r="AJ86" s="45">
        <v>0</v>
      </c>
      <c r="AK86" s="45">
        <v>0</v>
      </c>
      <c r="AL86" s="45">
        <v>0</v>
      </c>
      <c r="AM86" s="45">
        <v>0</v>
      </c>
      <c r="AN86" s="45">
        <v>0</v>
      </c>
      <c r="AO86" s="45">
        <v>0</v>
      </c>
      <c r="AP86" s="45">
        <v>0</v>
      </c>
      <c r="AQ86" s="45">
        <v>0</v>
      </c>
      <c r="AR86" s="45">
        <v>0</v>
      </c>
      <c r="AS86" s="45">
        <v>0</v>
      </c>
      <c r="AT86" s="45">
        <v>0</v>
      </c>
      <c r="AU86" s="45">
        <v>0</v>
      </c>
      <c r="AV86" s="45">
        <v>0</v>
      </c>
      <c r="AW86" s="45">
        <v>0</v>
      </c>
      <c r="AX86" s="45">
        <v>0</v>
      </c>
      <c r="AY86" s="45">
        <v>0</v>
      </c>
      <c r="AZ86" s="45">
        <v>0</v>
      </c>
      <c r="BA86" s="45">
        <v>0</v>
      </c>
      <c r="BB86" s="10">
        <v>0</v>
      </c>
    </row>
    <row r="87" spans="1:54">
      <c r="A87" t="s" s="212">
        <v>1252</v>
      </c>
      <c r="B87" s="294"/>
      <c r="C87" s="291"/>
      <c r="D87" t="s" s="122">
        <v>320</v>
      </c>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row>
    <row r="88" spans="1:54">
      <c r="A88" t="s" s="212">
        <v>982</v>
      </c>
      <c r="B88" s="294"/>
      <c r="C88" s="291"/>
      <c r="D88" t="s" s="122">
        <v>1971</v>
      </c>
      <c r="E88" s="241">
        <v>0</v>
      </c>
      <c r="F88" s="241">
        <v>0</v>
      </c>
      <c r="G88" s="241">
        <v>0</v>
      </c>
      <c r="H88" s="241">
        <v>0</v>
      </c>
      <c r="I88" s="241">
        <v>0</v>
      </c>
      <c r="J88" s="241">
        <v>0</v>
      </c>
      <c r="K88" s="241">
        <v>0</v>
      </c>
      <c r="L88" s="241">
        <v>0</v>
      </c>
      <c r="M88" s="241">
        <v>0</v>
      </c>
      <c r="N88" s="241">
        <v>0</v>
      </c>
      <c r="O88" s="241">
        <v>0</v>
      </c>
      <c r="P88" s="241">
        <v>0</v>
      </c>
      <c r="Q88" s="241">
        <v>0</v>
      </c>
      <c r="R88" s="241">
        <v>0</v>
      </c>
      <c r="S88" s="241">
        <v>0</v>
      </c>
      <c r="T88" s="241">
        <v>0</v>
      </c>
      <c r="U88" s="241">
        <v>0</v>
      </c>
      <c r="V88" s="241">
        <v>0</v>
      </c>
      <c r="W88" s="241">
        <v>0</v>
      </c>
      <c r="X88" s="241">
        <v>0</v>
      </c>
      <c r="Y88" s="241">
        <v>0</v>
      </c>
      <c r="Z88" s="241">
        <v>0</v>
      </c>
      <c r="AA88" s="241">
        <v>0</v>
      </c>
      <c r="AB88" s="241">
        <v>0</v>
      </c>
      <c r="AC88" s="241">
        <v>0</v>
      </c>
      <c r="AD88" s="241">
        <v>0</v>
      </c>
      <c r="AE88" s="241">
        <v>0</v>
      </c>
      <c r="AF88" s="241">
        <v>0</v>
      </c>
      <c r="AG88" s="241">
        <v>0</v>
      </c>
      <c r="AH88" s="241">
        <v>0</v>
      </c>
      <c r="AI88" s="241">
        <v>0</v>
      </c>
      <c r="AJ88" s="241">
        <v>0</v>
      </c>
      <c r="AK88" s="241">
        <v>0</v>
      </c>
      <c r="AL88" s="241">
        <v>0</v>
      </c>
      <c r="AM88" s="241">
        <v>0</v>
      </c>
      <c r="AN88" s="241">
        <v>0</v>
      </c>
      <c r="AO88" s="241">
        <v>0</v>
      </c>
      <c r="AP88" s="241">
        <v>0</v>
      </c>
      <c r="AQ88" s="241">
        <v>0</v>
      </c>
      <c r="AR88" s="241">
        <v>0</v>
      </c>
      <c r="AS88" s="241">
        <v>0</v>
      </c>
      <c r="AT88" s="241">
        <v>0</v>
      </c>
      <c r="AU88" s="241">
        <v>0</v>
      </c>
      <c r="AV88" s="241">
        <v>0</v>
      </c>
      <c r="AW88" s="241">
        <v>0</v>
      </c>
      <c r="AX88" s="241">
        <v>0</v>
      </c>
      <c r="AY88" s="241">
        <v>0</v>
      </c>
      <c r="AZ88" s="241">
        <v>0</v>
      </c>
      <c r="BA88" s="241">
        <v>0</v>
      </c>
      <c r="BB88" s="27">
        <v>0</v>
      </c>
    </row>
    <row r="89" spans="1:54">
      <c r="A89" t="s" s="212">
        <v>1321</v>
      </c>
      <c r="B89" s="294"/>
      <c r="C89" s="291"/>
      <c r="D89" t="s" s="122">
        <v>1744</v>
      </c>
      <c r="E89" s="241">
        <v>0</v>
      </c>
      <c r="F89" s="241">
        <v>0</v>
      </c>
      <c r="G89" s="241">
        <v>0</v>
      </c>
      <c r="H89" s="241">
        <v>0</v>
      </c>
      <c r="I89" s="241">
        <v>0</v>
      </c>
      <c r="J89" s="241">
        <v>0</v>
      </c>
      <c r="K89" s="241">
        <v>0</v>
      </c>
      <c r="L89" s="241">
        <v>0</v>
      </c>
      <c r="M89" s="241">
        <v>0</v>
      </c>
      <c r="N89" s="241">
        <v>0</v>
      </c>
      <c r="O89" s="241">
        <v>0</v>
      </c>
      <c r="P89" s="241">
        <v>0</v>
      </c>
      <c r="Q89" s="241">
        <v>0</v>
      </c>
      <c r="R89" s="241">
        <v>0</v>
      </c>
      <c r="S89" s="241">
        <v>0</v>
      </c>
      <c r="T89" s="241">
        <v>0</v>
      </c>
      <c r="U89" s="241">
        <v>0</v>
      </c>
      <c r="V89" s="241">
        <v>0</v>
      </c>
      <c r="W89" s="241">
        <v>0</v>
      </c>
      <c r="X89" s="241">
        <v>0</v>
      </c>
      <c r="Y89" s="241">
        <v>0</v>
      </c>
      <c r="Z89" s="241">
        <v>0</v>
      </c>
      <c r="AA89" s="241">
        <v>0</v>
      </c>
      <c r="AB89" s="241">
        <v>0</v>
      </c>
      <c r="AC89" s="241">
        <v>0</v>
      </c>
      <c r="AD89" s="241">
        <v>0</v>
      </c>
      <c r="AE89" s="241">
        <v>0</v>
      </c>
      <c r="AF89" s="241">
        <v>0</v>
      </c>
      <c r="AG89" s="241">
        <v>0</v>
      </c>
      <c r="AH89" s="241">
        <v>0</v>
      </c>
      <c r="AI89" s="241">
        <v>0</v>
      </c>
      <c r="AJ89" s="241">
        <v>0</v>
      </c>
      <c r="AK89" s="241">
        <v>0</v>
      </c>
      <c r="AL89" s="241">
        <v>0</v>
      </c>
      <c r="AM89" s="241">
        <v>0</v>
      </c>
      <c r="AN89" s="241">
        <v>0</v>
      </c>
      <c r="AO89" s="241">
        <v>0</v>
      </c>
      <c r="AP89" s="241">
        <v>0</v>
      </c>
      <c r="AQ89" s="241">
        <v>0</v>
      </c>
      <c r="AR89" s="241">
        <v>0</v>
      </c>
      <c r="AS89" s="241">
        <v>0</v>
      </c>
      <c r="AT89" s="241">
        <v>0</v>
      </c>
      <c r="AU89" s="241">
        <v>0</v>
      </c>
      <c r="AV89" s="241">
        <v>0</v>
      </c>
      <c r="AW89" s="241">
        <v>0</v>
      </c>
      <c r="AX89" s="241">
        <v>0</v>
      </c>
      <c r="AY89" s="241">
        <v>0</v>
      </c>
      <c r="AZ89" s="241">
        <v>0</v>
      </c>
      <c r="BA89" s="241">
        <v>0</v>
      </c>
      <c r="BB89" s="27">
        <v>0</v>
      </c>
    </row>
    <row r="90" spans="1:54" ht="16" thickBot="1">
      <c r="A90" t="s" s="212">
        <v>429</v>
      </c>
      <c r="B90" s="294"/>
      <c r="C90" s="291"/>
      <c r="D90" t="s" s="1">
        <v>1972</v>
      </c>
      <c r="E90" s="244">
        <v>0</v>
      </c>
      <c r="F90" s="244">
        <v>0</v>
      </c>
      <c r="G90" s="244">
        <v>0</v>
      </c>
      <c r="H90" s="244">
        <v>0</v>
      </c>
      <c r="I90" s="244">
        <v>0</v>
      </c>
      <c r="J90" s="244">
        <v>0</v>
      </c>
      <c r="K90" s="244">
        <v>0</v>
      </c>
      <c r="L90" s="244">
        <v>0</v>
      </c>
      <c r="M90" s="244">
        <v>0</v>
      </c>
      <c r="N90" s="244">
        <v>0</v>
      </c>
      <c r="O90" s="244">
        <v>0</v>
      </c>
      <c r="P90" s="244">
        <v>0</v>
      </c>
      <c r="Q90" s="244">
        <v>0</v>
      </c>
      <c r="R90" s="244">
        <v>0</v>
      </c>
      <c r="S90" s="244">
        <v>0</v>
      </c>
      <c r="T90" s="244">
        <v>0</v>
      </c>
      <c r="U90" s="244">
        <v>0</v>
      </c>
      <c r="V90" s="244">
        <v>0</v>
      </c>
      <c r="W90" s="244">
        <v>0</v>
      </c>
      <c r="X90" s="244">
        <v>0</v>
      </c>
      <c r="Y90" s="244">
        <v>0</v>
      </c>
      <c r="Z90" s="244">
        <v>0</v>
      </c>
      <c r="AA90" s="244">
        <v>0</v>
      </c>
      <c r="AB90" s="244">
        <v>0</v>
      </c>
      <c r="AC90" s="244">
        <v>0</v>
      </c>
      <c r="AD90" s="244">
        <v>0</v>
      </c>
      <c r="AE90" s="244">
        <v>0</v>
      </c>
      <c r="AF90" s="244">
        <v>0</v>
      </c>
      <c r="AG90" s="244">
        <v>0</v>
      </c>
      <c r="AH90" s="244">
        <v>0</v>
      </c>
      <c r="AI90" s="244">
        <v>0</v>
      </c>
      <c r="AJ90" s="244">
        <v>0</v>
      </c>
      <c r="AK90" s="244">
        <v>0</v>
      </c>
      <c r="AL90" s="244">
        <v>0</v>
      </c>
      <c r="AM90" s="244">
        <v>0</v>
      </c>
      <c r="AN90" s="244">
        <v>0</v>
      </c>
      <c r="AO90" s="244">
        <v>0</v>
      </c>
      <c r="AP90" s="244">
        <v>0</v>
      </c>
      <c r="AQ90" s="244">
        <v>0</v>
      </c>
      <c r="AR90" s="244">
        <v>0</v>
      </c>
      <c r="AS90" s="244">
        <v>0</v>
      </c>
      <c r="AT90" s="244">
        <v>0</v>
      </c>
      <c r="AU90" s="244">
        <v>0</v>
      </c>
      <c r="AV90" s="244">
        <v>0</v>
      </c>
      <c r="AW90" s="244">
        <v>0</v>
      </c>
      <c r="AX90" s="244">
        <v>0</v>
      </c>
      <c r="AY90" s="244">
        <v>0</v>
      </c>
      <c r="AZ90" s="244">
        <v>0</v>
      </c>
      <c r="BA90" s="244">
        <v>0</v>
      </c>
      <c r="BB90" s="164">
        <v>0</v>
      </c>
    </row>
    <row r="91" spans="1:54">
      <c r="A91" t="s" s="212">
        <v>104</v>
      </c>
      <c r="B91" s="277"/>
      <c r="C91" s="291"/>
      <c r="D91" t="s" s="269">
        <v>1121</v>
      </c>
      <c r="E91" s="270"/>
      <c r="F91" s="270"/>
      <c r="G91" s="270"/>
      <c r="H91" s="270"/>
      <c r="I91" s="270"/>
      <c r="J91" s="270"/>
      <c r="K91" s="270"/>
      <c r="L91" s="270"/>
      <c r="M91" s="270"/>
      <c r="N91" s="270"/>
      <c r="O91" s="270"/>
      <c r="P91" s="270"/>
      <c r="Q91" s="270"/>
      <c r="R91" s="270"/>
      <c r="S91" s="270"/>
      <c r="T91" s="270"/>
      <c r="U91" s="270"/>
      <c r="V91" s="270"/>
      <c r="W91" s="270"/>
      <c r="X91" s="270"/>
      <c r="Y91" s="270"/>
      <c r="Z91" s="270"/>
      <c r="AA91" s="270"/>
      <c r="AB91" s="270"/>
      <c r="AC91" s="270"/>
      <c r="AD91" s="270"/>
      <c r="AE91" s="270"/>
      <c r="AF91" s="270"/>
      <c r="AG91" s="270"/>
      <c r="AH91" s="270"/>
      <c r="AI91" s="270"/>
      <c r="AJ91" s="270"/>
      <c r="AK91" s="270"/>
      <c r="AL91" s="270"/>
      <c r="AM91" s="270"/>
      <c r="AN91" s="270"/>
      <c r="AO91" s="270"/>
      <c r="AP91" s="270"/>
      <c r="AQ91" s="270"/>
      <c r="AR91" s="270"/>
      <c r="AS91" s="270"/>
      <c r="AT91" s="270"/>
      <c r="AU91" s="270"/>
      <c r="AV91" s="270"/>
      <c r="AW91" s="270"/>
      <c r="AX91" s="270"/>
      <c r="AY91" s="270"/>
      <c r="AZ91" s="270"/>
      <c r="BA91" s="270"/>
      <c r="BB91" s="271"/>
    </row>
    <row r="92" spans="1:54">
      <c r="A92" t="s" s="212">
        <v>949</v>
      </c>
      <c r="B92" s="278"/>
      <c r="C92" s="291"/>
      <c r="D92" t="s" s="93">
        <v>1588</v>
      </c>
      <c r="E92" t="s" s="148">
        <v>1868</v>
      </c>
      <c r="F92" s="148"/>
      <c r="G92" s="148"/>
      <c r="H92" s="148"/>
      <c r="I92" s="148"/>
      <c r="J92" s="148"/>
      <c r="K92" s="148"/>
      <c r="L92" s="148"/>
      <c r="M92" s="148"/>
      <c r="N92" s="148"/>
      <c r="O92" s="148"/>
      <c r="P92" s="148"/>
      <c r="Q92" s="148"/>
      <c r="R92" s="148"/>
      <c r="S92" s="148"/>
      <c r="T92" s="148"/>
      <c r="U92" s="148"/>
      <c r="V92" s="148"/>
      <c r="W92" s="148"/>
      <c r="X92" s="148"/>
      <c r="Y92" s="148"/>
      <c r="Z92" s="148"/>
      <c r="AA92" s="148"/>
      <c r="AB92" s="148"/>
      <c r="AC92" s="148"/>
      <c r="AD92" s="148"/>
      <c r="AE92" s="148"/>
      <c r="AF92" s="148"/>
      <c r="AG92" s="148"/>
      <c r="AH92" s="148"/>
      <c r="AI92" s="148"/>
      <c r="AJ92" s="148"/>
      <c r="AK92" s="148"/>
      <c r="AL92" s="148"/>
      <c r="AM92" s="148"/>
      <c r="AN92" s="148"/>
      <c r="AO92" s="148"/>
      <c r="AP92" s="148"/>
      <c r="AQ92" s="148"/>
      <c r="AR92" s="148"/>
      <c r="AS92" s="148"/>
      <c r="AT92" s="148"/>
      <c r="AU92" s="148"/>
      <c r="AV92" s="148"/>
      <c r="AW92" s="148"/>
      <c r="AX92" s="148"/>
      <c r="AY92" s="148"/>
      <c r="AZ92" s="148"/>
      <c r="BA92" s="148"/>
      <c r="BB92" s="171"/>
    </row>
    <row r="93" spans="1:54">
      <c r="A93" t="s" s="212">
        <v>670</v>
      </c>
      <c r="B93" s="278"/>
      <c r="C93" s="291"/>
      <c r="D93" t="s" s="93">
        <v>0</v>
      </c>
      <c r="E93" s="148"/>
      <c r="F93" s="148"/>
      <c r="G93" s="148"/>
      <c r="H93" s="148"/>
      <c r="I93" s="148"/>
      <c r="J93" s="148"/>
      <c r="K93" s="148"/>
      <c r="L93" s="148"/>
      <c r="M93" s="148"/>
      <c r="N93" s="148"/>
      <c r="O93" s="148"/>
      <c r="P93" s="148"/>
      <c r="Q93" s="148"/>
      <c r="R93" s="148"/>
      <c r="S93" s="148"/>
      <c r="T93" s="148"/>
      <c r="U93" s="148"/>
      <c r="V93" s="148"/>
      <c r="W93" s="148"/>
      <c r="X93" s="148"/>
      <c r="Y93" s="148"/>
      <c r="Z93" s="148"/>
      <c r="AA93" s="148"/>
      <c r="AB93" s="148"/>
      <c r="AC93" s="148"/>
      <c r="AD93" s="148"/>
      <c r="AE93" s="148"/>
      <c r="AF93" s="148"/>
      <c r="AG93" s="148"/>
      <c r="AH93" s="148"/>
      <c r="AI93" s="148"/>
      <c r="AJ93" s="148"/>
      <c r="AK93" s="148"/>
      <c r="AL93" s="148"/>
      <c r="AM93" s="148"/>
      <c r="AN93" s="148"/>
      <c r="AO93" s="148"/>
      <c r="AP93" s="148"/>
      <c r="AQ93" s="148"/>
      <c r="AR93" s="148"/>
      <c r="AS93" s="148"/>
      <c r="AT93" s="148"/>
      <c r="AU93" s="148"/>
      <c r="AV93" s="148"/>
      <c r="AW93" s="148"/>
      <c r="AX93" s="148"/>
      <c r="AY93" s="148"/>
      <c r="AZ93" s="148"/>
      <c r="BA93" s="148"/>
      <c r="BB93" s="171"/>
    </row>
    <row r="94" spans="1:54">
      <c r="A94" t="s" s="212">
        <v>547</v>
      </c>
      <c r="B94" s="278"/>
      <c r="C94" s="291"/>
      <c r="D94" t="s" s="93">
        <v>2</v>
      </c>
      <c r="E94" s="148"/>
      <c r="F94" s="148"/>
      <c r="G94" s="148"/>
      <c r="H94" s="148"/>
      <c r="I94" s="148"/>
      <c r="J94" s="148"/>
      <c r="K94" s="148"/>
      <c r="L94" s="148"/>
      <c r="M94" s="148"/>
      <c r="N94" s="148"/>
      <c r="O94" s="148"/>
      <c r="P94" s="148"/>
      <c r="Q94" s="148"/>
      <c r="R94" s="148"/>
      <c r="S94" s="148"/>
      <c r="T94" s="148"/>
      <c r="U94" s="148"/>
      <c r="V94" s="148"/>
      <c r="W94" s="148"/>
      <c r="X94" s="148"/>
      <c r="Y94" s="148"/>
      <c r="Z94" s="148"/>
      <c r="AA94" s="148"/>
      <c r="AB94" s="148"/>
      <c r="AC94" s="148"/>
      <c r="AD94" s="148"/>
      <c r="AE94" s="148"/>
      <c r="AF94" s="148"/>
      <c r="AG94" s="148"/>
      <c r="AH94" s="148"/>
      <c r="AI94" s="148"/>
      <c r="AJ94" s="148"/>
      <c r="AK94" s="148"/>
      <c r="AL94" s="148"/>
      <c r="AM94" s="148"/>
      <c r="AN94" s="148"/>
      <c r="AO94" s="148"/>
      <c r="AP94" s="148"/>
      <c r="AQ94" s="148"/>
      <c r="AR94" s="148"/>
      <c r="AS94" s="148"/>
      <c r="AT94" s="148"/>
      <c r="AU94" s="148"/>
      <c r="AV94" s="148"/>
      <c r="AW94" s="148"/>
      <c r="AX94" s="148"/>
      <c r="AY94" s="148"/>
      <c r="AZ94" s="148"/>
      <c r="BA94" s="148"/>
      <c r="BB94" s="171"/>
    </row>
    <row r="95" spans="1:54">
      <c r="A95" t="s" s="212">
        <v>837</v>
      </c>
      <c r="B95" s="279"/>
      <c r="C95" s="291"/>
      <c r="D95" t="s" s="93">
        <v>329</v>
      </c>
      <c r="E95" s="153"/>
      <c r="F95" s="153"/>
      <c r="G95" s="153"/>
      <c r="H95" s="153"/>
      <c r="I95" s="153"/>
      <c r="J95" s="153"/>
      <c r="K95" s="153"/>
      <c r="L95" s="153"/>
      <c r="M95" s="153"/>
      <c r="N95" s="153"/>
      <c r="O95" s="153"/>
      <c r="P95" s="153"/>
      <c r="Q95" s="153"/>
      <c r="R95" s="153"/>
      <c r="S95" s="153"/>
      <c r="T95" s="153"/>
      <c r="U95" s="153"/>
      <c r="V95" s="153"/>
      <c r="W95" s="153"/>
      <c r="X95" s="153"/>
      <c r="Y95" s="153"/>
      <c r="Z95" s="153"/>
      <c r="AA95" s="153"/>
      <c r="AB95" s="153"/>
      <c r="AC95" s="153"/>
      <c r="AD95" s="153"/>
      <c r="AE95" s="153"/>
      <c r="AF95" s="153"/>
      <c r="AG95" s="153"/>
      <c r="AH95" s="153"/>
      <c r="AI95" s="153"/>
      <c r="AJ95" s="153"/>
      <c r="AK95" s="153"/>
      <c r="AL95" s="153"/>
      <c r="AM95" s="153"/>
      <c r="AN95" s="153"/>
      <c r="AO95" s="153"/>
      <c r="AP95" s="153"/>
      <c r="AQ95" s="153"/>
      <c r="AR95" s="153"/>
      <c r="AS95" s="153"/>
      <c r="AT95" s="153"/>
      <c r="AU95" s="153"/>
      <c r="AV95" s="153"/>
      <c r="AW95" s="153"/>
      <c r="AX95" s="153"/>
      <c r="AY95" s="153"/>
      <c r="AZ95" s="153"/>
      <c r="BA95" s="153"/>
      <c r="BB95" s="172"/>
    </row>
    <row r="96" spans="1:54">
      <c r="A96" t="s" s="212">
        <v>7</v>
      </c>
      <c r="B96" s="279"/>
      <c r="C96" s="291"/>
      <c r="D96" t="s" s="93">
        <v>186</v>
      </c>
      <c r="E96" s="153"/>
      <c r="F96" s="153"/>
      <c r="G96" s="153"/>
      <c r="H96" s="153"/>
      <c r="I96" s="153"/>
      <c r="J96" s="153"/>
      <c r="K96" s="153"/>
      <c r="L96" s="153"/>
      <c r="M96" s="153"/>
      <c r="N96" s="153"/>
      <c r="O96" s="153"/>
      <c r="P96" s="153"/>
      <c r="Q96" s="153"/>
      <c r="R96" s="153"/>
      <c r="S96" s="153"/>
      <c r="T96" s="153"/>
      <c r="U96" s="153"/>
      <c r="V96" s="153"/>
      <c r="W96" s="153"/>
      <c r="X96" s="153"/>
      <c r="Y96" s="153"/>
      <c r="Z96" s="153"/>
      <c r="AA96" s="153"/>
      <c r="AB96" s="153"/>
      <c r="AC96" s="153"/>
      <c r="AD96" s="153"/>
      <c r="AE96" s="153"/>
      <c r="AF96" s="153"/>
      <c r="AG96" s="153"/>
      <c r="AH96" s="153"/>
      <c r="AI96" s="153"/>
      <c r="AJ96" s="153"/>
      <c r="AK96" s="153"/>
      <c r="AL96" s="153"/>
      <c r="AM96" s="153"/>
      <c r="AN96" s="153"/>
      <c r="AO96" s="153"/>
      <c r="AP96" s="153"/>
      <c r="AQ96" s="153"/>
      <c r="AR96" s="153"/>
      <c r="AS96" s="153"/>
      <c r="AT96" s="153"/>
      <c r="AU96" s="153"/>
      <c r="AV96" s="153"/>
      <c r="AW96" s="153"/>
      <c r="AX96" s="153"/>
      <c r="AY96" s="153"/>
      <c r="AZ96" s="153"/>
      <c r="BA96" s="153"/>
      <c r="BB96" s="172"/>
    </row>
    <row r="97" spans="1:54">
      <c r="A97" t="s" s="212">
        <v>247</v>
      </c>
      <c r="B97" s="279"/>
      <c r="C97" s="291"/>
      <c r="D97" t="s" s="93">
        <v>1279</v>
      </c>
      <c r="E97" s="153"/>
      <c r="F97" s="153"/>
      <c r="G97" s="153"/>
      <c r="H97" s="153"/>
      <c r="I97" s="153"/>
      <c r="J97" s="153"/>
      <c r="K97" s="153"/>
      <c r="L97" s="153"/>
      <c r="M97" s="153"/>
      <c r="N97" s="153"/>
      <c r="O97" s="153"/>
      <c r="P97" s="153"/>
      <c r="Q97" s="153"/>
      <c r="R97" s="153"/>
      <c r="S97" s="153"/>
      <c r="T97" s="153"/>
      <c r="U97" s="153"/>
      <c r="V97" s="153"/>
      <c r="W97" s="153"/>
      <c r="X97" s="153"/>
      <c r="Y97" s="153"/>
      <c r="Z97" s="153"/>
      <c r="AA97" s="153"/>
      <c r="AB97" s="153"/>
      <c r="AC97" s="153"/>
      <c r="AD97" s="153"/>
      <c r="AE97" s="153"/>
      <c r="AF97" s="153"/>
      <c r="AG97" s="153"/>
      <c r="AH97" s="153"/>
      <c r="AI97" s="153"/>
      <c r="AJ97" s="153"/>
      <c r="AK97" s="153"/>
      <c r="AL97" s="153"/>
      <c r="AM97" s="153"/>
      <c r="AN97" s="153"/>
      <c r="AO97" s="153"/>
      <c r="AP97" s="153"/>
      <c r="AQ97" s="153"/>
      <c r="AR97" s="153"/>
      <c r="AS97" s="153"/>
      <c r="AT97" s="153"/>
      <c r="AU97" s="153"/>
      <c r="AV97" s="153"/>
      <c r="AW97" s="153"/>
      <c r="AX97" s="153"/>
      <c r="AY97" s="153"/>
      <c r="AZ97" s="153"/>
      <c r="BA97" s="153"/>
      <c r="BB97" s="172"/>
    </row>
    <row r="98" spans="1:54" s="89" customFormat="1" ht="16" thickBot="1">
      <c r="A98" t="s" s="212">
        <v>1356</v>
      </c>
      <c r="B98" s="279"/>
      <c r="C98" s="291"/>
      <c r="D98" t="s" s="93">
        <v>1088</v>
      </c>
      <c r="E98" s="153"/>
      <c r="F98" s="153"/>
      <c r="G98" s="153"/>
      <c r="H98" s="153"/>
      <c r="I98" s="153"/>
      <c r="J98" s="153"/>
      <c r="K98" s="153"/>
      <c r="L98" s="153"/>
      <c r="M98" s="153"/>
      <c r="N98" s="153"/>
      <c r="O98" s="153"/>
      <c r="P98" s="153"/>
      <c r="Q98" s="153"/>
      <c r="R98" s="153"/>
      <c r="S98" s="153"/>
      <c r="T98" s="153"/>
      <c r="U98" s="153"/>
      <c r="V98" s="153"/>
      <c r="W98" s="153"/>
      <c r="X98" s="153"/>
      <c r="Y98" s="153"/>
      <c r="Z98" s="153"/>
      <c r="AA98" s="153"/>
      <c r="AB98" s="153"/>
      <c r="AC98" s="153"/>
      <c r="AD98" s="153"/>
      <c r="AE98" s="153"/>
      <c r="AF98" s="153"/>
      <c r="AG98" s="153"/>
      <c r="AH98" s="153"/>
      <c r="AI98" s="153"/>
      <c r="AJ98" s="153"/>
      <c r="AK98" s="153"/>
      <c r="AL98" s="153"/>
      <c r="AM98" s="153"/>
      <c r="AN98" s="153"/>
      <c r="AO98" s="153"/>
      <c r="AP98" s="153"/>
      <c r="AQ98" s="153"/>
      <c r="AR98" s="153"/>
      <c r="AS98" s="153"/>
      <c r="AT98" s="153"/>
      <c r="AU98" s="153"/>
      <c r="AV98" s="153"/>
      <c r="AW98" s="153"/>
      <c r="AX98" s="153"/>
      <c r="AY98" s="153"/>
      <c r="AZ98" s="153"/>
      <c r="BA98" s="153"/>
      <c r="BB98" s="172"/>
    </row>
    <row r="99" spans="1:54" ht="15" customHeight="1" thickBot="1">
      <c r="A99" t="s" s="212">
        <v>1014</v>
      </c>
      <c r="B99" s="280"/>
      <c r="C99" s="292"/>
      <c r="D99" t="s" s="93">
        <v>1007</v>
      </c>
      <c r="E99" s="239"/>
      <c r="F99" s="239"/>
      <c r="G99" s="239"/>
      <c r="H99" s="239"/>
      <c r="I99" s="239"/>
      <c r="J99" s="239"/>
      <c r="K99" s="239"/>
      <c r="L99" s="239"/>
      <c r="M99" s="239"/>
      <c r="N99" s="239"/>
      <c r="O99" s="239"/>
      <c r="P99" s="239"/>
      <c r="Q99" s="239"/>
      <c r="R99" s="239"/>
      <c r="S99" s="239"/>
      <c r="T99" s="239"/>
      <c r="U99" s="239"/>
      <c r="V99" s="239"/>
      <c r="W99" s="239"/>
      <c r="X99" s="239"/>
      <c r="Y99" s="239"/>
      <c r="Z99" s="239"/>
      <c r="AA99" s="239"/>
      <c r="AB99" s="239"/>
      <c r="AC99" s="239"/>
      <c r="AD99" s="239"/>
      <c r="AE99" s="239"/>
      <c r="AF99" s="239"/>
      <c r="AG99" s="239"/>
      <c r="AH99" s="239"/>
      <c r="AI99" s="239"/>
      <c r="AJ99" s="239"/>
      <c r="AK99" s="239"/>
      <c r="AL99" s="239"/>
      <c r="AM99" s="239"/>
      <c r="AN99" s="239"/>
      <c r="AO99" s="239"/>
      <c r="AP99" s="239"/>
      <c r="AQ99" s="239"/>
      <c r="AR99" s="239"/>
      <c r="AS99" s="239"/>
      <c r="AT99" s="239"/>
      <c r="AU99" s="239"/>
      <c r="AV99" s="239"/>
      <c r="AW99" s="239"/>
      <c r="AX99" s="239"/>
      <c r="AY99" s="239"/>
      <c r="AZ99" s="239"/>
      <c r="BA99" s="239"/>
      <c r="BB99" s="20"/>
    </row>
    <row r="100" spans="1:54" ht="15" customHeight="1" thickBot="1">
      <c r="A100" t="s" s="31">
        <v>1852</v>
      </c>
      <c r="B100" t="s" s="330">
        <v>280</v>
      </c>
      <c r="C100" t="s" s="58">
        <v>939</v>
      </c>
      <c r="D100" s="325"/>
      <c r="E100" s="325"/>
      <c r="F100" s="325"/>
      <c r="G100" s="325"/>
      <c r="H100" s="325"/>
      <c r="I100" s="325"/>
      <c r="J100" s="325"/>
      <c r="K100" s="325"/>
      <c r="L100" s="325"/>
      <c r="M100" s="325"/>
      <c r="N100" s="325"/>
      <c r="O100" s="325"/>
      <c r="P100" s="325"/>
      <c r="Q100" s="325"/>
      <c r="R100" s="325"/>
      <c r="S100" s="325"/>
      <c r="T100" s="325"/>
      <c r="U100" s="325"/>
      <c r="V100" s="325"/>
      <c r="W100" s="325"/>
      <c r="X100" s="325"/>
      <c r="Y100" s="325"/>
      <c r="Z100" s="325"/>
      <c r="AA100" s="325"/>
      <c r="AB100" s="325"/>
      <c r="AC100" s="325"/>
      <c r="AD100" s="325"/>
      <c r="AE100" s="325"/>
      <c r="AF100" s="325"/>
      <c r="AG100" s="325"/>
      <c r="AH100" s="325"/>
      <c r="AI100" s="325"/>
      <c r="AJ100" s="325"/>
      <c r="AK100" s="325"/>
      <c r="AL100" s="325"/>
      <c r="AM100" s="325"/>
      <c r="AN100" s="325"/>
      <c r="AO100" s="325"/>
      <c r="AP100" s="325"/>
      <c r="AQ100" s="325"/>
      <c r="AR100" s="325"/>
      <c r="AS100" s="325"/>
      <c r="AT100" s="325"/>
      <c r="AU100" s="325"/>
      <c r="AV100" s="325"/>
      <c r="AW100" s="325"/>
      <c r="AX100" s="325"/>
      <c r="AY100" s="325"/>
      <c r="AZ100" s="325"/>
      <c r="BA100" s="325"/>
      <c r="BB100" s="326"/>
    </row>
    <row r="101" spans="1:54">
      <c r="A101" t="s" s="31">
        <v>171</v>
      </c>
      <c r="B101" s="331"/>
      <c r="C101" t="s" s="327">
        <v>631</v>
      </c>
      <c r="D101" t="s" s="160">
        <v>585</v>
      </c>
      <c r="E101" s="67"/>
      <c r="F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162"/>
    </row>
    <row r="102" spans="1:54">
      <c r="A102" t="s" s="31">
        <v>383</v>
      </c>
      <c r="B102" s="331"/>
      <c r="C102" s="328"/>
      <c r="D102" t="s" s="22">
        <v>1973</v>
      </c>
      <c r="E102" s="241">
        <v>0</v>
      </c>
      <c r="F102" s="241">
        <v>0</v>
      </c>
      <c r="G102" s="241">
        <v>0</v>
      </c>
      <c r="H102" s="241">
        <v>0</v>
      </c>
      <c r="I102" s="241">
        <v>0</v>
      </c>
      <c r="J102" s="241">
        <v>0</v>
      </c>
      <c r="K102" s="241">
        <v>0</v>
      </c>
      <c r="L102" s="241">
        <v>0</v>
      </c>
      <c r="M102" s="241">
        <v>0</v>
      </c>
      <c r="N102" s="241">
        <v>0</v>
      </c>
      <c r="O102" s="241">
        <v>0</v>
      </c>
      <c r="P102" s="241">
        <v>0</v>
      </c>
      <c r="Q102" s="241">
        <v>0</v>
      </c>
      <c r="R102" s="241">
        <v>0</v>
      </c>
      <c r="S102" s="241">
        <v>0</v>
      </c>
      <c r="T102" s="241">
        <v>0</v>
      </c>
      <c r="U102" s="241">
        <v>0</v>
      </c>
      <c r="V102" s="241">
        <v>0</v>
      </c>
      <c r="W102" s="241">
        <v>0</v>
      </c>
      <c r="X102" s="241">
        <v>0</v>
      </c>
      <c r="Y102" s="241">
        <v>0</v>
      </c>
      <c r="Z102" s="241">
        <v>0</v>
      </c>
      <c r="AA102" s="241">
        <v>0</v>
      </c>
      <c r="AB102" s="241">
        <v>0</v>
      </c>
      <c r="AC102" s="241">
        <v>0</v>
      </c>
      <c r="AD102" s="241">
        <v>0</v>
      </c>
      <c r="AE102" s="241">
        <v>0</v>
      </c>
      <c r="AF102" s="241">
        <v>0</v>
      </c>
      <c r="AG102" s="241">
        <v>0</v>
      </c>
      <c r="AH102" s="241">
        <v>0</v>
      </c>
      <c r="AI102" s="241">
        <v>0</v>
      </c>
      <c r="AJ102" s="241">
        <v>0</v>
      </c>
      <c r="AK102" s="241">
        <v>0</v>
      </c>
      <c r="AL102" s="241">
        <v>0</v>
      </c>
      <c r="AM102" s="241">
        <v>0</v>
      </c>
      <c r="AN102" s="241">
        <v>0</v>
      </c>
      <c r="AO102" s="241">
        <v>0</v>
      </c>
      <c r="AP102" s="241">
        <v>0</v>
      </c>
      <c r="AQ102" s="241">
        <v>0</v>
      </c>
      <c r="AR102" s="241">
        <v>0</v>
      </c>
      <c r="AS102" s="241">
        <v>0</v>
      </c>
      <c r="AT102" s="241">
        <v>0</v>
      </c>
      <c r="AU102" s="241">
        <v>0</v>
      </c>
      <c r="AV102" s="241">
        <v>0</v>
      </c>
      <c r="AW102" s="241">
        <v>0</v>
      </c>
      <c r="AX102" s="241">
        <v>0</v>
      </c>
      <c r="AY102" s="241">
        <v>0</v>
      </c>
      <c r="AZ102" s="241">
        <v>0</v>
      </c>
      <c r="BA102" s="241">
        <v>0</v>
      </c>
      <c r="BB102" s="27">
        <v>0</v>
      </c>
    </row>
    <row r="103" spans="1:54">
      <c r="A103" t="s" s="31">
        <v>581</v>
      </c>
      <c r="B103" s="331"/>
      <c r="C103" s="328"/>
      <c r="D103" t="s" s="22">
        <v>505</v>
      </c>
      <c r="E103" s="71"/>
      <c r="F103" s="71"/>
      <c r="G103" s="71"/>
      <c r="H103" s="71"/>
      <c r="I103" s="71"/>
      <c r="J103" s="71"/>
      <c r="K103" s="71"/>
      <c r="L103" s="71"/>
      <c r="M103" s="71"/>
      <c r="N103" s="71"/>
      <c r="O103" s="71"/>
      <c r="P103" s="71"/>
      <c r="Q103" s="71"/>
      <c r="R103" s="71"/>
      <c r="S103" s="71"/>
      <c r="T103" s="71"/>
      <c r="U103" s="71"/>
      <c r="V103" s="71"/>
      <c r="W103" s="71"/>
      <c r="X103" s="71"/>
      <c r="Y103" s="71"/>
      <c r="Z103" s="71"/>
      <c r="AA103" s="71"/>
      <c r="AB103" s="71"/>
      <c r="AC103" s="71"/>
      <c r="AD103" s="71"/>
      <c r="AE103" s="71"/>
      <c r="AF103" s="71"/>
      <c r="AG103" s="71"/>
      <c r="AH103" s="71"/>
      <c r="AI103" s="71"/>
      <c r="AJ103" s="71"/>
      <c r="AK103" s="71"/>
      <c r="AL103" s="71"/>
      <c r="AM103" s="71"/>
      <c r="AN103" s="71"/>
      <c r="AO103" s="71"/>
      <c r="AP103" s="71"/>
      <c r="AQ103" s="71"/>
      <c r="AR103" s="71"/>
      <c r="AS103" s="71"/>
      <c r="AT103" s="71"/>
      <c r="AU103" s="71"/>
      <c r="AV103" s="71"/>
      <c r="AW103" s="71"/>
      <c r="AX103" s="71"/>
      <c r="AY103" s="71"/>
      <c r="AZ103" s="71"/>
      <c r="BA103" s="71"/>
      <c r="BB103" s="48"/>
    </row>
    <row r="104" spans="1:54">
      <c r="A104" t="s" s="31">
        <v>1763</v>
      </c>
      <c r="B104" s="331"/>
      <c r="C104" s="328"/>
      <c r="D104" t="s" s="22">
        <v>1973</v>
      </c>
      <c r="E104" s="241">
        <v>0</v>
      </c>
      <c r="F104" s="241">
        <v>0</v>
      </c>
      <c r="G104" s="241">
        <v>0</v>
      </c>
      <c r="H104" s="241">
        <v>0</v>
      </c>
      <c r="I104" s="241">
        <v>0</v>
      </c>
      <c r="J104" s="241">
        <v>0</v>
      </c>
      <c r="K104" s="241">
        <v>0</v>
      </c>
      <c r="L104" s="241">
        <v>0</v>
      </c>
      <c r="M104" s="241">
        <v>0</v>
      </c>
      <c r="N104" s="241">
        <v>0</v>
      </c>
      <c r="O104" s="241">
        <v>0</v>
      </c>
      <c r="P104" s="241">
        <v>0</v>
      </c>
      <c r="Q104" s="241">
        <v>0</v>
      </c>
      <c r="R104" s="241">
        <v>0</v>
      </c>
      <c r="S104" s="241">
        <v>0</v>
      </c>
      <c r="T104" s="241">
        <v>0</v>
      </c>
      <c r="U104" s="241">
        <v>0</v>
      </c>
      <c r="V104" s="241">
        <v>0</v>
      </c>
      <c r="W104" s="241">
        <v>0</v>
      </c>
      <c r="X104" s="241">
        <v>0</v>
      </c>
      <c r="Y104" s="241">
        <v>0</v>
      </c>
      <c r="Z104" s="241">
        <v>0</v>
      </c>
      <c r="AA104" s="241">
        <v>0</v>
      </c>
      <c r="AB104" s="241">
        <v>0</v>
      </c>
      <c r="AC104" s="241">
        <v>0</v>
      </c>
      <c r="AD104" s="241">
        <v>0</v>
      </c>
      <c r="AE104" s="241">
        <v>0</v>
      </c>
      <c r="AF104" s="241">
        <v>0</v>
      </c>
      <c r="AG104" s="241">
        <v>0</v>
      </c>
      <c r="AH104" s="241">
        <v>0</v>
      </c>
      <c r="AI104" s="241">
        <v>0</v>
      </c>
      <c r="AJ104" s="241">
        <v>0</v>
      </c>
      <c r="AK104" s="241">
        <v>0</v>
      </c>
      <c r="AL104" s="241">
        <v>0</v>
      </c>
      <c r="AM104" s="241">
        <v>0</v>
      </c>
      <c r="AN104" s="241">
        <v>0</v>
      </c>
      <c r="AO104" s="241">
        <v>0</v>
      </c>
      <c r="AP104" s="241">
        <v>0</v>
      </c>
      <c r="AQ104" s="241">
        <v>0</v>
      </c>
      <c r="AR104" s="241">
        <v>0</v>
      </c>
      <c r="AS104" s="241">
        <v>0</v>
      </c>
      <c r="AT104" s="241">
        <v>0</v>
      </c>
      <c r="AU104" s="241">
        <v>0</v>
      </c>
      <c r="AV104" s="241">
        <v>0</v>
      </c>
      <c r="AW104" s="241">
        <v>0</v>
      </c>
      <c r="AX104" s="241">
        <v>0</v>
      </c>
      <c r="AY104" s="241">
        <v>0</v>
      </c>
      <c r="AZ104" s="241">
        <v>0</v>
      </c>
      <c r="BA104" s="241">
        <v>0</v>
      </c>
      <c r="BB104" s="27">
        <v>0</v>
      </c>
    </row>
    <row r="105" spans="1:54">
      <c r="A105" t="s" s="31">
        <v>322</v>
      </c>
      <c r="B105" s="331"/>
      <c r="C105" s="328"/>
      <c r="D105" t="s" s="22">
        <v>1536</v>
      </c>
      <c r="E105" s="71"/>
      <c r="F105" s="71"/>
      <c r="G105" s="71"/>
      <c r="H105" s="71"/>
      <c r="I105" s="71"/>
      <c r="J105" s="71"/>
      <c r="K105" s="71"/>
      <c r="L105" s="71"/>
      <c r="M105" s="71"/>
      <c r="N105" s="71"/>
      <c r="O105" s="71"/>
      <c r="P105" s="71"/>
      <c r="Q105" s="71"/>
      <c r="R105" s="71"/>
      <c r="S105" s="71"/>
      <c r="T105" s="71"/>
      <c r="U105" s="71"/>
      <c r="V105" s="71"/>
      <c r="W105" s="71"/>
      <c r="X105" s="71"/>
      <c r="Y105" s="71"/>
      <c r="Z105" s="71"/>
      <c r="AA105" s="71"/>
      <c r="AB105" s="71"/>
      <c r="AC105" s="71"/>
      <c r="AD105" s="71"/>
      <c r="AE105" s="71"/>
      <c r="AF105" s="71"/>
      <c r="AG105" s="71"/>
      <c r="AH105" s="71"/>
      <c r="AI105" s="71"/>
      <c r="AJ105" s="71"/>
      <c r="AK105" s="71"/>
      <c r="AL105" s="71"/>
      <c r="AM105" s="71"/>
      <c r="AN105" s="71"/>
      <c r="AO105" s="71"/>
      <c r="AP105" s="71"/>
      <c r="AQ105" s="71"/>
      <c r="AR105" s="71"/>
      <c r="AS105" s="71"/>
      <c r="AT105" s="71"/>
      <c r="AU105" s="71"/>
      <c r="AV105" s="71"/>
      <c r="AW105" s="71"/>
      <c r="AX105" s="71"/>
      <c r="AY105" s="71"/>
      <c r="AZ105" s="71"/>
      <c r="BA105" s="71"/>
      <c r="BB105" s="48"/>
    </row>
    <row r="106" spans="1:54">
      <c r="A106" t="s" s="31">
        <v>1519</v>
      </c>
      <c r="B106" s="331"/>
      <c r="C106" s="328"/>
      <c r="D106" t="s" s="22">
        <v>1973</v>
      </c>
      <c r="E106" s="241">
        <v>0</v>
      </c>
      <c r="F106" s="241">
        <v>0</v>
      </c>
      <c r="G106" s="241">
        <v>0</v>
      </c>
      <c r="H106" s="241">
        <v>0</v>
      </c>
      <c r="I106" s="241">
        <v>0</v>
      </c>
      <c r="J106" s="241">
        <v>0</v>
      </c>
      <c r="K106" s="241">
        <v>0</v>
      </c>
      <c r="L106" s="241">
        <v>0</v>
      </c>
      <c r="M106" s="241">
        <v>0</v>
      </c>
      <c r="N106" s="241">
        <v>0</v>
      </c>
      <c r="O106" s="241">
        <v>0</v>
      </c>
      <c r="P106" s="241">
        <v>0</v>
      </c>
      <c r="Q106" s="241">
        <v>0</v>
      </c>
      <c r="R106" s="241">
        <v>0</v>
      </c>
      <c r="S106" s="241">
        <v>0</v>
      </c>
      <c r="T106" s="241">
        <v>0</v>
      </c>
      <c r="U106" s="241">
        <v>0</v>
      </c>
      <c r="V106" s="241">
        <v>0</v>
      </c>
      <c r="W106" s="241">
        <v>0</v>
      </c>
      <c r="X106" s="241">
        <v>0</v>
      </c>
      <c r="Y106" s="241">
        <v>0</v>
      </c>
      <c r="Z106" s="241">
        <v>0</v>
      </c>
      <c r="AA106" s="241">
        <v>0</v>
      </c>
      <c r="AB106" s="241">
        <v>0</v>
      </c>
      <c r="AC106" s="241">
        <v>0</v>
      </c>
      <c r="AD106" s="241">
        <v>0</v>
      </c>
      <c r="AE106" s="241">
        <v>0</v>
      </c>
      <c r="AF106" s="241">
        <v>0</v>
      </c>
      <c r="AG106" s="241">
        <v>0</v>
      </c>
      <c r="AH106" s="241">
        <v>0</v>
      </c>
      <c r="AI106" s="241">
        <v>0</v>
      </c>
      <c r="AJ106" s="241">
        <v>0</v>
      </c>
      <c r="AK106" s="241">
        <v>0</v>
      </c>
      <c r="AL106" s="241">
        <v>0</v>
      </c>
      <c r="AM106" s="241">
        <v>0</v>
      </c>
      <c r="AN106" s="241">
        <v>0</v>
      </c>
      <c r="AO106" s="241">
        <v>0</v>
      </c>
      <c r="AP106" s="241">
        <v>0</v>
      </c>
      <c r="AQ106" s="241">
        <v>0</v>
      </c>
      <c r="AR106" s="241">
        <v>0</v>
      </c>
      <c r="AS106" s="241">
        <v>0</v>
      </c>
      <c r="AT106" s="241">
        <v>0</v>
      </c>
      <c r="AU106" s="241">
        <v>0</v>
      </c>
      <c r="AV106" s="241">
        <v>0</v>
      </c>
      <c r="AW106" s="241">
        <v>0</v>
      </c>
      <c r="AX106" s="241">
        <v>0</v>
      </c>
      <c r="AY106" s="241">
        <v>0</v>
      </c>
      <c r="AZ106" s="241">
        <v>0</v>
      </c>
      <c r="BA106" s="241">
        <v>0</v>
      </c>
      <c r="BB106" s="27">
        <v>0</v>
      </c>
    </row>
    <row r="107" spans="1:54">
      <c r="A107" t="s" s="31">
        <v>462</v>
      </c>
      <c r="B107" s="331"/>
      <c r="C107" s="328"/>
      <c r="D107" t="s" s="22">
        <v>1051</v>
      </c>
      <c r="E107" s="71"/>
      <c r="F107" s="71"/>
      <c r="G107" s="71"/>
      <c r="H107" s="71"/>
      <c r="I107" s="71"/>
      <c r="J107" s="71"/>
      <c r="K107" s="71"/>
      <c r="L107" s="71"/>
      <c r="M107" s="71"/>
      <c r="N107" s="71"/>
      <c r="O107" s="71"/>
      <c r="P107" s="71"/>
      <c r="Q107" s="71"/>
      <c r="R107" s="71"/>
      <c r="S107" s="71"/>
      <c r="T107" s="71"/>
      <c r="U107" s="71"/>
      <c r="V107" s="71"/>
      <c r="W107" s="71"/>
      <c r="X107" s="71"/>
      <c r="Y107" s="71"/>
      <c r="Z107" s="71"/>
      <c r="AA107" s="71"/>
      <c r="AB107" s="71"/>
      <c r="AC107" s="71"/>
      <c r="AD107" s="71"/>
      <c r="AE107" s="71"/>
      <c r="AF107" s="71"/>
      <c r="AG107" s="71"/>
      <c r="AH107" s="71"/>
      <c r="AI107" s="71"/>
      <c r="AJ107" s="71"/>
      <c r="AK107" s="71"/>
      <c r="AL107" s="71"/>
      <c r="AM107" s="71"/>
      <c r="AN107" s="71"/>
      <c r="AO107" s="71"/>
      <c r="AP107" s="71"/>
      <c r="AQ107" s="71"/>
      <c r="AR107" s="71"/>
      <c r="AS107" s="71"/>
      <c r="AT107" s="71"/>
      <c r="AU107" s="71"/>
      <c r="AV107" s="71"/>
      <c r="AW107" s="71"/>
      <c r="AX107" s="71"/>
      <c r="AY107" s="71"/>
      <c r="AZ107" s="71"/>
      <c r="BA107" s="71"/>
      <c r="BB107" s="48"/>
    </row>
    <row r="108" spans="1:54" s="77" customFormat="1" ht="16" thickBot="1">
      <c r="A108" t="s" s="31">
        <v>1684</v>
      </c>
      <c r="B108" s="331"/>
      <c r="C108" s="328"/>
      <c r="D108" t="s" s="139">
        <v>1973</v>
      </c>
      <c r="E108" s="103">
        <v>0</v>
      </c>
      <c r="F108" s="103">
        <v>0</v>
      </c>
      <c r="G108" s="103">
        <v>0</v>
      </c>
      <c r="H108" s="103">
        <v>0</v>
      </c>
      <c r="I108" s="103">
        <v>0</v>
      </c>
      <c r="J108" s="103">
        <v>0</v>
      </c>
      <c r="K108" s="103">
        <v>0</v>
      </c>
      <c r="L108" s="103">
        <v>0</v>
      </c>
      <c r="M108" s="103">
        <v>0</v>
      </c>
      <c r="N108" s="103">
        <v>0</v>
      </c>
      <c r="O108" s="103">
        <v>0</v>
      </c>
      <c r="P108" s="103">
        <v>0</v>
      </c>
      <c r="Q108" s="103">
        <v>0</v>
      </c>
      <c r="R108" s="103">
        <v>0</v>
      </c>
      <c r="S108" s="103">
        <v>0</v>
      </c>
      <c r="T108" s="103">
        <v>0</v>
      </c>
      <c r="U108" s="103">
        <v>0</v>
      </c>
      <c r="V108" s="103">
        <v>0</v>
      </c>
      <c r="W108" s="103">
        <v>0</v>
      </c>
      <c r="X108" s="103">
        <v>0</v>
      </c>
      <c r="Y108" s="103">
        <v>0</v>
      </c>
      <c r="Z108" s="103">
        <v>0</v>
      </c>
      <c r="AA108" s="103">
        <v>0</v>
      </c>
      <c r="AB108" s="103">
        <v>0</v>
      </c>
      <c r="AC108" s="103">
        <v>0</v>
      </c>
      <c r="AD108" s="103">
        <v>0</v>
      </c>
      <c r="AE108" s="103">
        <v>0</v>
      </c>
      <c r="AF108" s="103">
        <v>0</v>
      </c>
      <c r="AG108" s="103">
        <v>0</v>
      </c>
      <c r="AH108" s="103">
        <v>0</v>
      </c>
      <c r="AI108" s="103">
        <v>0</v>
      </c>
      <c r="AJ108" s="103">
        <v>0</v>
      </c>
      <c r="AK108" s="103">
        <v>0</v>
      </c>
      <c r="AL108" s="103">
        <v>0</v>
      </c>
      <c r="AM108" s="103">
        <v>0</v>
      </c>
      <c r="AN108" s="103">
        <v>0</v>
      </c>
      <c r="AO108" s="103">
        <v>0</v>
      </c>
      <c r="AP108" s="103">
        <v>0</v>
      </c>
      <c r="AQ108" s="103">
        <v>0</v>
      </c>
      <c r="AR108" s="103">
        <v>0</v>
      </c>
      <c r="AS108" s="103">
        <v>0</v>
      </c>
      <c r="AT108" s="103">
        <v>0</v>
      </c>
      <c r="AU108" s="103">
        <v>0</v>
      </c>
      <c r="AV108" s="103">
        <v>0</v>
      </c>
      <c r="AW108" s="103">
        <v>0</v>
      </c>
      <c r="AX108" s="103">
        <v>0</v>
      </c>
      <c r="AY108" s="103">
        <v>0</v>
      </c>
      <c r="AZ108" s="103">
        <v>0</v>
      </c>
      <c r="BA108" s="103">
        <v>0</v>
      </c>
      <c r="BB108" s="119">
        <v>0</v>
      </c>
    </row>
    <row r="109" spans="1:54">
      <c r="A109" t="s" s="31">
        <v>1845</v>
      </c>
      <c r="B109" s="331"/>
      <c r="C109" s="328"/>
      <c r="D109" t="s" s="318">
        <v>1855</v>
      </c>
      <c r="E109" s="319"/>
      <c r="F109" s="319"/>
      <c r="G109" s="319"/>
      <c r="H109" s="319"/>
      <c r="I109" s="319"/>
      <c r="J109" s="319"/>
      <c r="K109" s="319"/>
      <c r="L109" s="319"/>
      <c r="M109" s="319"/>
      <c r="N109" s="319"/>
      <c r="O109" s="319"/>
      <c r="P109" s="319"/>
      <c r="Q109" s="319"/>
      <c r="R109" s="319"/>
      <c r="S109" s="319"/>
      <c r="T109" s="319"/>
      <c r="U109" s="319"/>
      <c r="V109" s="319"/>
      <c r="W109" s="319"/>
      <c r="X109" s="319"/>
      <c r="Y109" s="319"/>
      <c r="Z109" s="319"/>
      <c r="AA109" s="319"/>
      <c r="AB109" s="319"/>
      <c r="AC109" s="319"/>
      <c r="AD109" s="319"/>
      <c r="AE109" s="319"/>
      <c r="AF109" s="319"/>
      <c r="AG109" s="319"/>
      <c r="AH109" s="319"/>
      <c r="AI109" s="319"/>
      <c r="AJ109" s="319"/>
      <c r="AK109" s="319"/>
      <c r="AL109" s="319"/>
      <c r="AM109" s="319"/>
      <c r="AN109" s="319"/>
      <c r="AO109" s="319"/>
      <c r="AP109" s="319"/>
      <c r="AQ109" s="319"/>
      <c r="AR109" s="319"/>
      <c r="AS109" s="319"/>
      <c r="AT109" s="319"/>
      <c r="AU109" s="319"/>
      <c r="AV109" s="319"/>
      <c r="AW109" s="319"/>
      <c r="AX109" s="319"/>
      <c r="AY109" s="319"/>
      <c r="AZ109" s="319"/>
      <c r="BA109" s="319"/>
      <c r="BB109" s="320"/>
    </row>
    <row r="110" spans="1:54">
      <c r="A110" t="s" s="212">
        <v>1098</v>
      </c>
      <c r="B110" s="331"/>
      <c r="C110" s="328"/>
      <c r="D110" t="s" s="22">
        <v>843</v>
      </c>
      <c r="E110" s="148"/>
      <c r="F110" s="148"/>
      <c r="G110" s="148"/>
      <c r="H110" s="148"/>
      <c r="I110" s="148"/>
      <c r="J110" s="148"/>
      <c r="K110" s="148"/>
      <c r="L110" s="148"/>
      <c r="M110" s="148"/>
      <c r="N110" s="148"/>
      <c r="O110" s="148"/>
      <c r="P110" s="148"/>
      <c r="Q110" s="148"/>
      <c r="R110" s="148"/>
      <c r="S110" s="148"/>
      <c r="T110" s="148"/>
      <c r="U110" s="148"/>
      <c r="V110" s="148"/>
      <c r="W110" s="148"/>
      <c r="X110" s="148"/>
      <c r="Y110" s="148"/>
      <c r="Z110" s="148"/>
      <c r="AA110" s="148"/>
      <c r="AB110" s="148"/>
      <c r="AC110" s="148"/>
      <c r="AD110" s="148"/>
      <c r="AE110" s="148"/>
      <c r="AF110" s="148"/>
      <c r="AG110" s="148"/>
      <c r="AH110" s="148"/>
      <c r="AI110" s="148"/>
      <c r="AJ110" s="148"/>
      <c r="AK110" s="148"/>
      <c r="AL110" s="148"/>
      <c r="AM110" s="148"/>
      <c r="AN110" s="148"/>
      <c r="AO110" s="148"/>
      <c r="AP110" s="148"/>
      <c r="AQ110" s="148"/>
      <c r="AR110" s="148"/>
      <c r="AS110" s="148"/>
      <c r="AT110" s="148"/>
      <c r="AU110" s="148"/>
      <c r="AV110" s="148"/>
      <c r="AW110" s="148"/>
      <c r="AX110" s="148"/>
      <c r="AY110" s="148"/>
      <c r="AZ110" s="148"/>
      <c r="BA110" s="148"/>
      <c r="BB110" s="171"/>
    </row>
    <row r="111" spans="1:54">
      <c r="A111" t="s" s="212">
        <v>829</v>
      </c>
      <c r="B111" s="331"/>
      <c r="C111" s="328"/>
      <c r="D111" t="s" s="22">
        <v>873</v>
      </c>
      <c r="E111" s="148"/>
      <c r="F111" s="148"/>
      <c r="G111" s="148"/>
      <c r="H111" s="148"/>
      <c r="I111" s="148"/>
      <c r="J111" s="148"/>
      <c r="K111" s="148"/>
      <c r="L111" s="148"/>
      <c r="M111" s="148"/>
      <c r="N111" s="148"/>
      <c r="O111" s="148"/>
      <c r="P111" s="148"/>
      <c r="Q111" s="148"/>
      <c r="R111" s="148"/>
      <c r="S111" s="148"/>
      <c r="T111" s="148"/>
      <c r="U111" s="148"/>
      <c r="V111" s="148"/>
      <c r="W111" s="148"/>
      <c r="X111" s="148"/>
      <c r="Y111" s="148"/>
      <c r="Z111" s="148"/>
      <c r="AA111" s="148"/>
      <c r="AB111" s="148"/>
      <c r="AC111" s="148"/>
      <c r="AD111" s="148"/>
      <c r="AE111" s="148"/>
      <c r="AF111" s="148"/>
      <c r="AG111" s="148"/>
      <c r="AH111" s="148"/>
      <c r="AI111" s="148"/>
      <c r="AJ111" s="148"/>
      <c r="AK111" s="148"/>
      <c r="AL111" s="148"/>
      <c r="AM111" s="148"/>
      <c r="AN111" s="148"/>
      <c r="AO111" s="148"/>
      <c r="AP111" s="148"/>
      <c r="AQ111" s="148"/>
      <c r="AR111" s="148"/>
      <c r="AS111" s="148"/>
      <c r="AT111" s="148"/>
      <c r="AU111" s="148"/>
      <c r="AV111" s="148"/>
      <c r="AW111" s="148"/>
      <c r="AX111" s="148"/>
      <c r="AY111" s="148"/>
      <c r="AZ111" s="148"/>
      <c r="BA111" s="148"/>
      <c r="BB111" s="171"/>
    </row>
    <row r="112" spans="1:54">
      <c r="A112" t="s" s="212">
        <v>749</v>
      </c>
      <c r="B112" s="331"/>
      <c r="C112" s="328"/>
      <c r="D112" t="s" s="22">
        <v>306</v>
      </c>
      <c r="E112" s="148"/>
      <c r="F112" s="148"/>
      <c r="G112" s="148"/>
      <c r="H112" s="148"/>
      <c r="I112" s="148"/>
      <c r="J112" s="148"/>
      <c r="K112" s="148"/>
      <c r="L112" s="148"/>
      <c r="M112" s="148"/>
      <c r="N112" s="148"/>
      <c r="O112" s="148"/>
      <c r="P112" s="148"/>
      <c r="Q112" s="148"/>
      <c r="R112" s="148"/>
      <c r="S112" s="148"/>
      <c r="T112" s="148"/>
      <c r="U112" s="148"/>
      <c r="V112" s="148"/>
      <c r="W112" s="148"/>
      <c r="X112" s="148"/>
      <c r="Y112" s="148"/>
      <c r="Z112" s="148"/>
      <c r="AA112" s="148"/>
      <c r="AB112" s="148"/>
      <c r="AC112" s="148"/>
      <c r="AD112" s="148"/>
      <c r="AE112" s="148"/>
      <c r="AF112" s="148"/>
      <c r="AG112" s="148"/>
      <c r="AH112" s="148"/>
      <c r="AI112" s="148"/>
      <c r="AJ112" s="148"/>
      <c r="AK112" s="148"/>
      <c r="AL112" s="148"/>
      <c r="AM112" s="148"/>
      <c r="AN112" s="148"/>
      <c r="AO112" s="148"/>
      <c r="AP112" s="148"/>
      <c r="AQ112" s="148"/>
      <c r="AR112" s="148"/>
      <c r="AS112" s="148"/>
      <c r="AT112" s="148"/>
      <c r="AU112" s="148"/>
      <c r="AV112" s="148"/>
      <c r="AW112" s="148"/>
      <c r="AX112" s="148"/>
      <c r="AY112" s="148"/>
      <c r="AZ112" s="148"/>
      <c r="BA112" s="148"/>
      <c r="BB112" s="171"/>
    </row>
    <row r="113" spans="1:54">
      <c r="A113" t="s" s="212">
        <v>1659</v>
      </c>
      <c r="B113" s="331"/>
      <c r="C113" s="328"/>
      <c r="D113" t="s" s="22">
        <v>523</v>
      </c>
      <c r="E113" s="153"/>
      <c r="F113" s="153"/>
      <c r="G113" s="153"/>
      <c r="H113" s="153"/>
      <c r="I113" s="153"/>
      <c r="J113" s="153"/>
      <c r="K113" s="153"/>
      <c r="L113" s="153"/>
      <c r="M113" s="153"/>
      <c r="N113" s="153"/>
      <c r="O113" s="153"/>
      <c r="P113" s="153"/>
      <c r="Q113" s="153"/>
      <c r="R113" s="153"/>
      <c r="S113" s="153"/>
      <c r="T113" s="153"/>
      <c r="U113" s="153"/>
      <c r="V113" s="153"/>
      <c r="W113" s="153"/>
      <c r="X113" s="153"/>
      <c r="Y113" s="153"/>
      <c r="Z113" s="153"/>
      <c r="AA113" s="153"/>
      <c r="AB113" s="153"/>
      <c r="AC113" s="153"/>
      <c r="AD113" s="153"/>
      <c r="AE113" s="153"/>
      <c r="AF113" s="153"/>
      <c r="AG113" s="153"/>
      <c r="AH113" s="153"/>
      <c r="AI113" s="153"/>
      <c r="AJ113" s="153"/>
      <c r="AK113" s="153"/>
      <c r="AL113" s="153"/>
      <c r="AM113" s="153"/>
      <c r="AN113" s="153"/>
      <c r="AO113" s="153"/>
      <c r="AP113" s="153"/>
      <c r="AQ113" s="153"/>
      <c r="AR113" s="153"/>
      <c r="AS113" s="153"/>
      <c r="AT113" s="153"/>
      <c r="AU113" s="153"/>
      <c r="AV113" s="153"/>
      <c r="AW113" s="153"/>
      <c r="AX113" s="153"/>
      <c r="AY113" s="153"/>
      <c r="AZ113" s="153"/>
      <c r="BA113" s="153"/>
      <c r="BB113" s="172"/>
    </row>
    <row r="114" spans="1:54">
      <c r="A114" t="s" s="212">
        <v>196</v>
      </c>
      <c r="B114" s="331"/>
      <c r="C114" s="328"/>
      <c r="D114" t="s" s="22">
        <v>509</v>
      </c>
      <c r="E114" s="153"/>
      <c r="F114" s="153"/>
      <c r="G114" s="153"/>
      <c r="H114" s="153"/>
      <c r="I114" s="153"/>
      <c r="J114" s="153"/>
      <c r="K114" s="153"/>
      <c r="L114" s="153"/>
      <c r="M114" s="153"/>
      <c r="N114" s="153"/>
      <c r="O114" s="153"/>
      <c r="P114" s="153"/>
      <c r="Q114" s="153"/>
      <c r="R114" s="153"/>
      <c r="S114" s="153"/>
      <c r="T114" s="153"/>
      <c r="U114" s="153"/>
      <c r="V114" s="153"/>
      <c r="W114" s="153"/>
      <c r="X114" s="153"/>
      <c r="Y114" s="153"/>
      <c r="Z114" s="153"/>
      <c r="AA114" s="153"/>
      <c r="AB114" s="153"/>
      <c r="AC114" s="153"/>
      <c r="AD114" s="153"/>
      <c r="AE114" s="153"/>
      <c r="AF114" s="153"/>
      <c r="AG114" s="153"/>
      <c r="AH114" s="153"/>
      <c r="AI114" s="153"/>
      <c r="AJ114" s="153"/>
      <c r="AK114" s="153"/>
      <c r="AL114" s="153"/>
      <c r="AM114" s="153"/>
      <c r="AN114" s="153"/>
      <c r="AO114" s="153"/>
      <c r="AP114" s="153"/>
      <c r="AQ114" s="153"/>
      <c r="AR114" s="153"/>
      <c r="AS114" s="153"/>
      <c r="AT114" s="153"/>
      <c r="AU114" s="153"/>
      <c r="AV114" s="153"/>
      <c r="AW114" s="153"/>
      <c r="AX114" s="153"/>
      <c r="AY114" s="153"/>
      <c r="AZ114" s="153"/>
      <c r="BA114" s="153"/>
      <c r="BB114" s="172"/>
    </row>
    <row r="115" spans="1:54">
      <c r="A115" t="s" s="212">
        <v>1305</v>
      </c>
      <c r="B115" s="331"/>
      <c r="C115" s="328"/>
      <c r="D115" t="s" s="22">
        <v>94</v>
      </c>
      <c r="E115" s="153"/>
      <c r="F115" s="153"/>
      <c r="G115" s="153"/>
      <c r="H115" s="153"/>
      <c r="I115" s="153"/>
      <c r="J115" s="153"/>
      <c r="K115" s="153"/>
      <c r="L115" s="153"/>
      <c r="M115" s="153"/>
      <c r="N115" s="153"/>
      <c r="O115" s="153"/>
      <c r="P115" s="153"/>
      <c r="Q115" s="153"/>
      <c r="R115" s="153"/>
      <c r="S115" s="153"/>
      <c r="T115" s="153"/>
      <c r="U115" s="153"/>
      <c r="V115" s="153"/>
      <c r="W115" s="153"/>
      <c r="X115" s="153"/>
      <c r="Y115" s="153"/>
      <c r="Z115" s="153"/>
      <c r="AA115" s="153"/>
      <c r="AB115" s="153"/>
      <c r="AC115" s="153"/>
      <c r="AD115" s="153"/>
      <c r="AE115" s="153"/>
      <c r="AF115" s="153"/>
      <c r="AG115" s="153"/>
      <c r="AH115" s="153"/>
      <c r="AI115" s="153"/>
      <c r="AJ115" s="153"/>
      <c r="AK115" s="153"/>
      <c r="AL115" s="153"/>
      <c r="AM115" s="153"/>
      <c r="AN115" s="153"/>
      <c r="AO115" s="153"/>
      <c r="AP115" s="153"/>
      <c r="AQ115" s="153"/>
      <c r="AR115" s="153"/>
      <c r="AS115" s="153"/>
      <c r="AT115" s="153"/>
      <c r="AU115" s="153"/>
      <c r="AV115" s="153"/>
      <c r="AW115" s="153"/>
      <c r="AX115" s="153"/>
      <c r="AY115" s="153"/>
      <c r="AZ115" s="153"/>
      <c r="BA115" s="153"/>
      <c r="BB115" s="172"/>
    </row>
    <row r="116" spans="1:54">
      <c r="A116" t="s" s="212">
        <v>746</v>
      </c>
      <c r="B116" s="331"/>
      <c r="C116" s="328"/>
      <c r="D116" t="s" s="22">
        <v>694</v>
      </c>
      <c r="E116" s="153"/>
      <c r="F116" s="153"/>
      <c r="G116" s="153"/>
      <c r="H116" s="153"/>
      <c r="I116" s="153"/>
      <c r="J116" s="153"/>
      <c r="K116" s="153"/>
      <c r="L116" s="153"/>
      <c r="M116" s="153"/>
      <c r="N116" s="153"/>
      <c r="O116" s="153"/>
      <c r="P116" s="153"/>
      <c r="Q116" s="153"/>
      <c r="R116" s="153"/>
      <c r="S116" s="153"/>
      <c r="T116" s="153"/>
      <c r="U116" s="153"/>
      <c r="V116" s="153"/>
      <c r="W116" s="153"/>
      <c r="X116" s="153"/>
      <c r="Y116" s="153"/>
      <c r="Z116" s="153"/>
      <c r="AA116" s="153"/>
      <c r="AB116" s="153"/>
      <c r="AC116" s="153"/>
      <c r="AD116" s="153"/>
      <c r="AE116" s="153"/>
      <c r="AF116" s="153"/>
      <c r="AG116" s="153"/>
      <c r="AH116" s="153"/>
      <c r="AI116" s="153"/>
      <c r="AJ116" s="153"/>
      <c r="AK116" s="153"/>
      <c r="AL116" s="153"/>
      <c r="AM116" s="153"/>
      <c r="AN116" s="153"/>
      <c r="AO116" s="153"/>
      <c r="AP116" s="153"/>
      <c r="AQ116" s="153"/>
      <c r="AR116" s="153"/>
      <c r="AS116" s="153"/>
      <c r="AT116" s="153"/>
      <c r="AU116" s="153"/>
      <c r="AV116" s="153"/>
      <c r="AW116" s="153"/>
      <c r="AX116" s="153"/>
      <c r="AY116" s="153"/>
      <c r="AZ116" s="153"/>
      <c r="BA116" s="153"/>
      <c r="BB116" s="172"/>
    </row>
    <row r="117" spans="1:54" ht="43.5" customHeight="1" thickBot="1">
      <c r="A117" t="s" s="212">
        <v>1272</v>
      </c>
      <c r="B117" s="331"/>
      <c r="C117" s="328"/>
      <c r="D117" t="s" s="22">
        <v>165</v>
      </c>
      <c r="E117" s="239"/>
      <c r="F117" s="239"/>
      <c r="G117" s="239"/>
      <c r="H117" s="239"/>
      <c r="I117" s="239"/>
      <c r="J117" s="239"/>
      <c r="K117" s="239"/>
      <c r="L117" s="239"/>
      <c r="M117" s="239"/>
      <c r="N117" s="239"/>
      <c r="O117" s="239"/>
      <c r="P117" s="239"/>
      <c r="Q117" s="239"/>
      <c r="R117" s="239"/>
      <c r="S117" s="239"/>
      <c r="T117" s="239"/>
      <c r="U117" s="239"/>
      <c r="V117" s="239"/>
      <c r="W117" s="239"/>
      <c r="X117" s="239"/>
      <c r="Y117" s="239"/>
      <c r="Z117" s="239"/>
      <c r="AA117" s="239"/>
      <c r="AB117" s="239"/>
      <c r="AC117" s="239"/>
      <c r="AD117" s="239"/>
      <c r="AE117" s="239"/>
      <c r="AF117" s="239"/>
      <c r="AG117" s="239"/>
      <c r="AH117" s="239"/>
      <c r="AI117" s="239"/>
      <c r="AJ117" s="239"/>
      <c r="AK117" s="239"/>
      <c r="AL117" s="239"/>
      <c r="AM117" s="239"/>
      <c r="AN117" s="239"/>
      <c r="AO117" s="239"/>
      <c r="AP117" s="239"/>
      <c r="AQ117" s="239"/>
      <c r="AR117" s="239"/>
      <c r="AS117" s="239"/>
      <c r="AT117" s="239"/>
      <c r="AU117" s="239"/>
      <c r="AV117" s="239"/>
      <c r="AW117" s="239"/>
      <c r="AX117" s="239"/>
      <c r="AY117" s="239"/>
      <c r="AZ117" s="239"/>
      <c r="BA117" s="239"/>
      <c r="BB117" s="20"/>
    </row>
    <row r="118" spans="1:54" s="155" customFormat="1" ht="17.25" customHeight="1" thickBot="1">
      <c r="A118" t="s" s="212">
        <v>176</v>
      </c>
      <c r="B118" s="332"/>
      <c r="C118" s="329"/>
      <c r="D118" s="35"/>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49"/>
      <c r="AK118" s="149"/>
      <c r="AL118" s="149"/>
      <c r="AM118" s="149"/>
      <c r="AN118" s="149"/>
      <c r="AO118" s="149"/>
      <c r="AP118" s="149"/>
      <c r="AQ118" s="149"/>
      <c r="AR118" s="149"/>
      <c r="AS118" s="149"/>
      <c r="AT118" s="149"/>
      <c r="AU118" s="149"/>
      <c r="AV118" s="149"/>
      <c r="AW118" s="149"/>
      <c r="AX118" s="149"/>
      <c r="AY118" s="149"/>
      <c r="AZ118" s="149"/>
      <c r="BA118" s="149"/>
      <c r="BB118" s="149"/>
    </row>
    <row r="119" spans="1:54" ht="20.25" customHeight="1" thickBot="1">
      <c r="A119" t="s" s="212">
        <v>336</v>
      </c>
      <c r="B119" t="s" s="333">
        <v>739</v>
      </c>
      <c r="C119" t="s" s="72">
        <v>188</v>
      </c>
      <c r="D119" s="267"/>
      <c r="E119" s="267"/>
      <c r="F119" s="267"/>
      <c r="G119" s="267"/>
      <c r="H119" s="267"/>
      <c r="I119" s="267"/>
      <c r="J119" s="267"/>
      <c r="K119" s="267"/>
      <c r="L119" s="267"/>
      <c r="M119" s="267"/>
      <c r="N119" s="267"/>
      <c r="O119" s="267"/>
      <c r="P119" s="267"/>
      <c r="Q119" s="267"/>
      <c r="R119" s="267"/>
      <c r="S119" s="267"/>
      <c r="T119" s="267"/>
      <c r="U119" s="267"/>
      <c r="V119" s="267"/>
      <c r="W119" s="267"/>
      <c r="X119" s="267"/>
      <c r="Y119" s="267"/>
      <c r="Z119" s="267"/>
      <c r="AA119" s="267"/>
      <c r="AB119" s="267"/>
      <c r="AC119" s="267"/>
      <c r="AD119" s="267"/>
      <c r="AE119" s="267"/>
      <c r="AF119" s="267"/>
      <c r="AG119" s="267"/>
      <c r="AH119" s="267"/>
      <c r="AI119" s="267"/>
      <c r="AJ119" s="267"/>
      <c r="AK119" s="267"/>
      <c r="AL119" s="267"/>
      <c r="AM119" s="267"/>
      <c r="AN119" s="267"/>
      <c r="AO119" s="267"/>
      <c r="AP119" s="267"/>
      <c r="AQ119" s="267"/>
      <c r="AR119" s="267"/>
      <c r="AS119" s="267"/>
      <c r="AT119" s="267"/>
      <c r="AU119" s="267"/>
      <c r="AV119" s="267"/>
      <c r="AW119" s="267"/>
      <c r="AX119" s="267"/>
      <c r="AY119" s="267"/>
      <c r="AZ119" s="267"/>
      <c r="BA119" s="267"/>
      <c r="BB119" s="268"/>
    </row>
    <row r="120" spans="1:54" s="89" customFormat="1" ht="18.75" customHeight="1" thickBot="1">
      <c r="A120" t="s" s="212">
        <v>796</v>
      </c>
      <c r="B120" s="334"/>
      <c r="C120" t="s" s="131">
        <v>1087</v>
      </c>
      <c r="D120" t="s" s="215">
        <v>1725</v>
      </c>
      <c r="E120" s="190"/>
      <c r="F120" s="190"/>
      <c r="G120" s="190"/>
      <c r="H120" s="190"/>
      <c r="I120" s="190"/>
      <c r="J120" s="190"/>
      <c r="K120" s="190"/>
      <c r="L120" s="190"/>
      <c r="M120" s="190"/>
      <c r="N120" s="190"/>
      <c r="O120" s="190"/>
      <c r="P120" s="190"/>
      <c r="Q120" s="190"/>
      <c r="R120" s="190"/>
      <c r="S120" s="190"/>
      <c r="T120" s="190"/>
      <c r="U120" s="190"/>
      <c r="V120" s="190"/>
      <c r="W120" s="190"/>
      <c r="X120" s="190"/>
      <c r="Y120" s="190"/>
      <c r="Z120" s="190"/>
      <c r="AA120" s="190"/>
      <c r="AB120" s="190"/>
      <c r="AC120" s="190"/>
      <c r="AD120" s="190"/>
      <c r="AE120" s="190"/>
      <c r="AF120" s="190"/>
      <c r="AG120" s="190"/>
      <c r="AH120" s="190"/>
      <c r="AI120" s="190"/>
      <c r="AJ120" s="190"/>
      <c r="AK120" s="190"/>
      <c r="AL120" s="190"/>
      <c r="AM120" s="190"/>
      <c r="AN120" s="190"/>
      <c r="AO120" s="190"/>
      <c r="AP120" s="190"/>
      <c r="AQ120" s="190"/>
      <c r="AR120" s="190"/>
      <c r="AS120" s="190"/>
      <c r="AT120" s="190"/>
      <c r="AU120" s="190"/>
      <c r="AV120" s="190"/>
      <c r="AW120" s="190"/>
      <c r="AX120" s="190"/>
      <c r="AY120" s="190"/>
      <c r="AZ120" s="190"/>
      <c r="BA120" s="190"/>
      <c r="BB120" s="106"/>
    </row>
    <row r="121" spans="1:54" s="155" customFormat="1" ht="17" thickBot="1">
      <c r="A121" t="s" s="212">
        <v>173</v>
      </c>
      <c r="B121" s="335"/>
      <c r="C121" t="s" s="107">
        <v>1115</v>
      </c>
      <c r="D121" t="s" s="139">
        <v>1290</v>
      </c>
      <c r="E121" s="239"/>
      <c r="F121" s="239"/>
      <c r="G121" s="239"/>
      <c r="H121" s="239"/>
      <c r="I121" s="239"/>
      <c r="J121" s="239"/>
      <c r="K121" s="239"/>
      <c r="L121" s="239"/>
      <c r="M121" s="239"/>
      <c r="N121" s="239"/>
      <c r="O121" s="239"/>
      <c r="P121" s="239"/>
      <c r="Q121" s="239"/>
      <c r="R121" s="239"/>
      <c r="S121" s="239"/>
      <c r="T121" s="239"/>
      <c r="U121" s="239"/>
      <c r="V121" s="239"/>
      <c r="W121" s="239"/>
      <c r="X121" s="239"/>
      <c r="Y121" s="239"/>
      <c r="Z121" s="239"/>
      <c r="AA121" s="239"/>
      <c r="AB121" s="239"/>
      <c r="AC121" s="239"/>
      <c r="AD121" s="239"/>
      <c r="AE121" s="239"/>
      <c r="AF121" s="239"/>
      <c r="AG121" s="239"/>
      <c r="AH121" s="239"/>
      <c r="AI121" s="239"/>
      <c r="AJ121" s="239"/>
      <c r="AK121" s="239"/>
      <c r="AL121" s="239"/>
      <c r="AM121" s="239"/>
      <c r="AN121" s="239"/>
      <c r="AO121" s="239"/>
      <c r="AP121" s="239"/>
      <c r="AQ121" s="239"/>
      <c r="AR121" s="239"/>
      <c r="AS121" s="239"/>
      <c r="AT121" s="239"/>
      <c r="AU121" s="239"/>
      <c r="AV121" s="239"/>
      <c r="AW121" s="239"/>
      <c r="AX121" s="239"/>
      <c r="AY121" s="239"/>
      <c r="AZ121" s="239"/>
      <c r="BA121" s="239"/>
      <c r="BB121" s="20"/>
    </row>
    <row r="122" spans="1:54" s="89" customFormat="1" ht="17" thickBot="1">
      <c r="A122" t="s" s="212">
        <v>1104</v>
      </c>
      <c r="B122" t="s" s="323">
        <v>501</v>
      </c>
      <c r="C122" t="s" s="63">
        <v>521</v>
      </c>
      <c r="D122" s="321"/>
      <c r="E122" s="321"/>
      <c r="F122" s="321"/>
      <c r="G122" s="321"/>
      <c r="H122" s="321"/>
      <c r="I122" s="321"/>
      <c r="J122" s="321"/>
      <c r="K122" s="321"/>
      <c r="L122" s="321"/>
      <c r="M122" s="321"/>
      <c r="N122" s="321"/>
      <c r="O122" s="321"/>
      <c r="P122" s="321"/>
      <c r="Q122" s="321"/>
      <c r="R122" s="321"/>
      <c r="S122" s="321"/>
      <c r="T122" s="321"/>
      <c r="U122" s="321"/>
      <c r="V122" s="321"/>
      <c r="W122" s="321"/>
      <c r="X122" s="321"/>
      <c r="Y122" s="321"/>
      <c r="Z122" s="321"/>
      <c r="AA122" s="321"/>
      <c r="AB122" s="321"/>
      <c r="AC122" s="321"/>
      <c r="AD122" s="321"/>
      <c r="AE122" s="321"/>
      <c r="AF122" s="321"/>
      <c r="AG122" s="321"/>
      <c r="AH122" s="321"/>
      <c r="AI122" s="321"/>
      <c r="AJ122" s="321"/>
      <c r="AK122" s="321"/>
      <c r="AL122" s="321"/>
      <c r="AM122" s="321"/>
      <c r="AN122" s="321"/>
      <c r="AO122" s="321"/>
      <c r="AP122" s="321"/>
      <c r="AQ122" s="321"/>
      <c r="AR122" s="321"/>
      <c r="AS122" s="321"/>
      <c r="AT122" s="321"/>
      <c r="AU122" s="321"/>
      <c r="AV122" s="321"/>
      <c r="AW122" s="321"/>
      <c r="AX122" s="321"/>
      <c r="AY122" s="321"/>
      <c r="AZ122" s="321"/>
      <c r="BA122" s="321"/>
      <c r="BB122" s="322"/>
    </row>
    <row r="123" spans="1:54" ht="76" thickBot="1">
      <c r="A123" t="s" s="212">
        <v>1836</v>
      </c>
      <c r="B123" s="324"/>
      <c r="C123" t="s" s="92">
        <v>324</v>
      </c>
      <c r="D123" t="s" s="201">
        <v>1242</v>
      </c>
      <c r="E123" t="s" s="124">
        <v>816</v>
      </c>
      <c r="F123" t="s" s="124">
        <v>816</v>
      </c>
      <c r="G123" s="124"/>
      <c r="H123" s="124"/>
      <c r="I123" s="124"/>
      <c r="J123" s="124"/>
      <c r="K123" s="124"/>
      <c r="L123" s="124"/>
      <c r="M123" s="124"/>
      <c r="N123" s="124"/>
      <c r="O123" s="124"/>
      <c r="P123" s="124"/>
      <c r="Q123" s="124"/>
      <c r="R123" s="124"/>
      <c r="S123" s="124"/>
      <c r="T123" s="124"/>
      <c r="U123" s="124"/>
      <c r="V123" s="124"/>
      <c r="W123" s="124"/>
      <c r="X123" s="124"/>
      <c r="Y123" s="124"/>
      <c r="Z123" s="124"/>
      <c r="AA123" s="124"/>
      <c r="AB123" s="124"/>
      <c r="AC123" s="124"/>
      <c r="AD123" s="124"/>
      <c r="AE123" s="124"/>
      <c r="AF123" s="124"/>
      <c r="AG123" s="124"/>
      <c r="AH123" s="124"/>
      <c r="AI123" s="124"/>
      <c r="AJ123" s="124"/>
      <c r="AK123" s="124"/>
      <c r="AL123" s="124"/>
      <c r="AM123" s="124"/>
      <c r="AN123" s="124"/>
      <c r="AO123" s="124"/>
      <c r="AP123" s="124"/>
      <c r="AQ123" s="124"/>
      <c r="AR123" s="124"/>
      <c r="AS123" s="124"/>
      <c r="AT123" s="124"/>
      <c r="AU123" s="124"/>
      <c r="AV123" s="124"/>
      <c r="AW123" s="124"/>
      <c r="AX123" s="124"/>
      <c r="AY123" s="124"/>
      <c r="AZ123" s="124"/>
      <c r="BA123" s="124"/>
      <c r="BB123" s="124"/>
    </row>
    <row r="124" spans="1:54">
      <c r="A124" t="s" s="3">
        <v>1328</v>
      </c>
    </row>
    <row r="125" spans="1:54">
      <c r="A125" t="s" s="3">
        <v>1195</v>
      </c>
    </row>
    <row r="126" spans="1:54">
      <c r="A126" t="s" s="3">
        <v>592</v>
      </c>
    </row>
    <row r="127" spans="1:54">
      <c r="A127" t="s" s="3">
        <v>240</v>
      </c>
    </row>
    <row r="128" spans="1:54">
      <c r="A128" t="s" s="3">
        <v>609</v>
      </c>
    </row>
    <row r="129" spans="1:54" ht="34.5" customHeight="1">
      <c r="A129" t="s" s="3">
        <v>180</v>
      </c>
    </row>
    <row r="130" spans="1:54" ht="16">
      <c r="A130" t="s" s="3">
        <v>1690</v>
      </c>
      <c r="B130" t="s" s="312">
        <v>1316</v>
      </c>
      <c r="C130" t="s" s="165">
        <v>1500</v>
      </c>
      <c r="D130" s="310"/>
      <c r="E130" s="310"/>
      <c r="F130" s="310"/>
      <c r="G130" s="310"/>
      <c r="H130" s="310"/>
      <c r="I130" s="310"/>
      <c r="J130" s="310"/>
      <c r="K130" s="310"/>
      <c r="L130" s="310"/>
      <c r="M130" s="310"/>
      <c r="N130" s="310"/>
      <c r="O130" s="310"/>
      <c r="P130" s="310"/>
      <c r="Q130" s="310"/>
      <c r="R130" s="310"/>
      <c r="S130" s="310"/>
      <c r="T130" s="310"/>
      <c r="U130" s="310"/>
      <c r="V130" s="310"/>
      <c r="W130" s="310"/>
      <c r="X130" s="310"/>
      <c r="Y130" s="310"/>
      <c r="Z130" s="310"/>
      <c r="AA130" s="310"/>
      <c r="AB130" s="310"/>
      <c r="AC130" s="310"/>
      <c r="AD130" s="310"/>
      <c r="AE130" s="310"/>
      <c r="AF130" s="310"/>
      <c r="AG130" s="310"/>
      <c r="AH130" s="310"/>
      <c r="AI130" s="310"/>
      <c r="AJ130" s="310"/>
      <c r="AK130" s="310"/>
      <c r="AL130" s="310"/>
      <c r="AM130" s="310"/>
      <c r="AN130" s="310"/>
      <c r="AO130" s="310"/>
      <c r="AP130" s="310"/>
      <c r="AQ130" s="310"/>
      <c r="AR130" s="310"/>
      <c r="AS130" s="310"/>
      <c r="AT130" s="310"/>
      <c r="AU130" s="310"/>
      <c r="AV130" s="310"/>
      <c r="AW130" s="310"/>
      <c r="AX130" s="310"/>
      <c r="AY130" s="310"/>
      <c r="AZ130" s="310"/>
      <c r="BA130" s="310"/>
      <c r="BB130" s="311"/>
    </row>
    <row r="131" spans="1:54">
      <c r="A131" t="s" s="31">
        <v>790</v>
      </c>
      <c r="B131" s="313"/>
      <c r="C131" t="s" s="314">
        <v>504</v>
      </c>
      <c r="D131" t="s" s="26">
        <v>1661</v>
      </c>
      <c r="E131" s="71"/>
      <c r="F131" s="71"/>
      <c r="G131" s="71">
        <f t="shared" ref="G131:BB131" si="6">IF(ISERROR(VLOOKUP(G51,BATT_EXTRA_INFO,1,FALSE)),"",RIGHT("00"&amp;G55,2)&amp;RIGHT("00"&amp;G56,2)&amp;RIGHT("xx"&amp;G57,2)
&amp;IF(G58&gt;0,"gm"&amp;RIGHT("00000"&amp;MID(G58,1,5),5),"WH"&amp;RIGHT("00000"&amp;MID(G59,1,5),5))&amp;LEFT(G54,4))</f>
      </c>
      <c r="H131" s="71">
        <f t="shared" si="6"/>
      </c>
      <c r="I131" s="71">
        <f t="shared" si="6"/>
      </c>
      <c r="J131" s="71">
        <f t="shared" si="6"/>
      </c>
      <c r="K131" s="71">
        <f t="shared" si="6"/>
      </c>
      <c r="L131" s="71">
        <f t="shared" si="6"/>
      </c>
      <c r="M131" s="71">
        <f t="shared" si="6"/>
      </c>
      <c r="N131" s="71">
        <f t="shared" si="6"/>
      </c>
      <c r="O131" s="71">
        <f t="shared" si="6"/>
      </c>
      <c r="P131" s="71">
        <f t="shared" si="6"/>
      </c>
      <c r="Q131" s="71">
        <f t="shared" si="6"/>
      </c>
      <c r="R131" s="71">
        <f t="shared" si="6"/>
      </c>
      <c r="S131" s="71">
        <f t="shared" si="6"/>
      </c>
      <c r="T131" s="71">
        <f t="shared" si="6"/>
      </c>
      <c r="U131" s="71">
        <f t="shared" si="6"/>
      </c>
      <c r="V131" s="71">
        <f t="shared" si="6"/>
      </c>
      <c r="W131" s="71">
        <f t="shared" si="6"/>
      </c>
      <c r="X131" s="71">
        <f t="shared" si="6"/>
      </c>
      <c r="Y131" s="71">
        <f t="shared" si="6"/>
      </c>
      <c r="Z131" s="71">
        <f t="shared" si="6"/>
      </c>
      <c r="AA131" s="71">
        <f t="shared" si="6"/>
      </c>
      <c r="AB131" s="71">
        <f t="shared" si="6"/>
      </c>
      <c r="AC131" s="71">
        <f t="shared" si="6"/>
      </c>
      <c r="AD131" s="71">
        <f t="shared" si="6"/>
      </c>
      <c r="AE131" s="71">
        <f t="shared" si="6"/>
      </c>
      <c r="AF131" s="71">
        <f t="shared" si="6"/>
      </c>
      <c r="AG131" s="71">
        <f t="shared" si="6"/>
      </c>
      <c r="AH131" s="71">
        <f t="shared" si="6"/>
      </c>
      <c r="AI131" s="71">
        <f t="shared" si="6"/>
      </c>
      <c r="AJ131" s="71">
        <f t="shared" si="6"/>
      </c>
      <c r="AK131" s="71">
        <f t="shared" si="6"/>
      </c>
      <c r="AL131" s="71">
        <f t="shared" si="6"/>
      </c>
      <c r="AM131" s="71">
        <f t="shared" si="6"/>
      </c>
      <c r="AN131" s="71">
        <f t="shared" si="6"/>
      </c>
      <c r="AO131" s="71">
        <f t="shared" si="6"/>
      </c>
      <c r="AP131" s="71">
        <f t="shared" si="6"/>
      </c>
      <c r="AQ131" s="71">
        <f t="shared" si="6"/>
      </c>
      <c r="AR131" s="71">
        <f t="shared" si="6"/>
      </c>
      <c r="AS131" s="71">
        <f t="shared" si="6"/>
      </c>
      <c r="AT131" s="71">
        <f t="shared" si="6"/>
      </c>
      <c r="AU131" s="71">
        <f t="shared" si="6"/>
      </c>
      <c r="AV131" s="71">
        <f t="shared" si="6"/>
      </c>
      <c r="AW131" s="71">
        <f t="shared" si="6"/>
      </c>
      <c r="AX131" s="71">
        <f t="shared" si="6"/>
      </c>
      <c r="AY131" s="71">
        <f t="shared" si="6"/>
      </c>
      <c r="AZ131" s="71">
        <f t="shared" si="6"/>
      </c>
      <c r="BA131" s="71">
        <f t="shared" si="6"/>
      </c>
      <c r="BB131" s="71">
        <f t="shared" si="6"/>
      </c>
    </row>
    <row r="132" spans="1:54">
      <c r="A132" t="s" s="31">
        <v>1015</v>
      </c>
      <c r="B132" s="313"/>
      <c r="C132" s="315"/>
      <c r="D132" t="s" s="26">
        <v>628</v>
      </c>
      <c r="E132" s="71">
        <f t="shared" ref="E132:AJ132" si="7">IF(ISERROR(VLOOKUP(E61,BATT_EXTRA_INFO,1,FALSE)),"",RIGHT("00"&amp;E65,2)&amp;RIGHT("00"&amp;E66,2)&amp;RIGHT("xx"&amp;E67,2)
&amp;IF(E68&gt;0,"gm"&amp;RIGHT("00000"&amp;MID(E68,1,5),5),"WH"&amp;RIGHT("00000"&amp;MID(E69,1,5),5))&amp;LEFT(E64,4))</f>
      </c>
      <c r="F132" s="71">
        <f t="shared" si="7"/>
      </c>
      <c r="G132" s="71">
        <f t="shared" si="7"/>
      </c>
      <c r="H132" s="71">
        <f t="shared" si="7"/>
      </c>
      <c r="I132" s="71">
        <f t="shared" si="7"/>
      </c>
      <c r="J132" s="71">
        <f t="shared" si="7"/>
      </c>
      <c r="K132" s="71">
        <f t="shared" si="7"/>
      </c>
      <c r="L132" s="71">
        <f t="shared" si="7"/>
      </c>
      <c r="M132" s="71">
        <f t="shared" si="7"/>
      </c>
      <c r="N132" s="71">
        <f t="shared" si="7"/>
      </c>
      <c r="O132" s="71">
        <f t="shared" si="7"/>
      </c>
      <c r="P132" s="71">
        <f t="shared" si="7"/>
      </c>
      <c r="Q132" s="71">
        <f t="shared" si="7"/>
      </c>
      <c r="R132" s="71">
        <f t="shared" si="7"/>
      </c>
      <c r="S132" s="71">
        <f t="shared" si="7"/>
      </c>
      <c r="T132" s="71">
        <f t="shared" si="7"/>
      </c>
      <c r="U132" s="71">
        <f t="shared" si="7"/>
      </c>
      <c r="V132" s="71">
        <f t="shared" si="7"/>
      </c>
      <c r="W132" s="71">
        <f t="shared" si="7"/>
      </c>
      <c r="X132" s="71">
        <f t="shared" si="7"/>
      </c>
      <c r="Y132" s="71">
        <f t="shared" si="7"/>
      </c>
      <c r="Z132" s="71">
        <f t="shared" si="7"/>
      </c>
      <c r="AA132" s="71">
        <f t="shared" si="7"/>
      </c>
      <c r="AB132" s="71">
        <f t="shared" si="7"/>
      </c>
      <c r="AC132" s="71">
        <f t="shared" si="7"/>
      </c>
      <c r="AD132" s="71">
        <f t="shared" si="7"/>
      </c>
      <c r="AE132" s="71">
        <f t="shared" si="7"/>
      </c>
      <c r="AF132" s="71">
        <f t="shared" si="7"/>
      </c>
      <c r="AG132" s="71">
        <f t="shared" si="7"/>
      </c>
      <c r="AH132" s="71">
        <f t="shared" si="7"/>
      </c>
      <c r="AI132" s="71">
        <f t="shared" si="7"/>
      </c>
      <c r="AJ132" s="71">
        <f t="shared" si="7"/>
      </c>
      <c r="AK132" s="71">
        <f t="shared" ref="AK132:BB132" si="8">IF(ISERROR(VLOOKUP(AK61,BATT_EXTRA_INFO,1,FALSE)),"",RIGHT("00"&amp;AK65,2)&amp;RIGHT("00"&amp;AK66,2)&amp;RIGHT("xx"&amp;AK67,2)
&amp;IF(AK68&gt;0,"gm"&amp;RIGHT("00000"&amp;MID(AK68,1,5),5),"WH"&amp;RIGHT("00000"&amp;MID(AK69,1,5),5))&amp;LEFT(AK64,4))</f>
      </c>
      <c r="AL132" s="71">
        <f t="shared" si="8"/>
      </c>
      <c r="AM132" s="71">
        <f t="shared" si="8"/>
      </c>
      <c r="AN132" s="71">
        <f t="shared" si="8"/>
      </c>
      <c r="AO132" s="71">
        <f t="shared" si="8"/>
      </c>
      <c r="AP132" s="71">
        <f t="shared" si="8"/>
      </c>
      <c r="AQ132" s="71">
        <f t="shared" si="8"/>
      </c>
      <c r="AR132" s="71">
        <f t="shared" si="8"/>
      </c>
      <c r="AS132" s="71">
        <f t="shared" si="8"/>
      </c>
      <c r="AT132" s="71">
        <f t="shared" si="8"/>
      </c>
      <c r="AU132" s="71">
        <f t="shared" si="8"/>
      </c>
      <c r="AV132" s="71">
        <f t="shared" si="8"/>
      </c>
      <c r="AW132" s="71">
        <f t="shared" si="8"/>
      </c>
      <c r="AX132" s="71">
        <f t="shared" si="8"/>
      </c>
      <c r="AY132" s="71">
        <f t="shared" si="8"/>
      </c>
      <c r="AZ132" s="71">
        <f t="shared" si="8"/>
      </c>
      <c r="BA132" s="71">
        <f t="shared" si="8"/>
      </c>
      <c r="BB132" s="71">
        <f t="shared" si="8"/>
      </c>
    </row>
    <row r="133" spans="1:54">
      <c r="A133" t="s" s="31">
        <v>242</v>
      </c>
      <c r="B133" s="313"/>
      <c r="C133" s="315"/>
      <c r="D133" t="s" s="26">
        <v>782</v>
      </c>
      <c r="E133" s="71"/>
      <c r="F133" s="71"/>
      <c r="G133" s="71"/>
      <c r="H133" s="71"/>
      <c r="I133" s="71"/>
      <c r="J133" s="71"/>
      <c r="K133" s="71"/>
      <c r="L133" s="71"/>
      <c r="M133" s="71"/>
      <c r="N133" s="71"/>
      <c r="O133" s="71"/>
      <c r="P133" s="71"/>
      <c r="Q133" s="71"/>
      <c r="R133" s="71"/>
      <c r="S133" s="71"/>
      <c r="T133" s="71"/>
      <c r="U133" s="71"/>
      <c r="V133" s="71"/>
      <c r="W133" s="71"/>
      <c r="X133" s="71"/>
      <c r="Y133" s="71"/>
      <c r="Z133" s="71"/>
      <c r="AA133" s="71"/>
      <c r="AB133" s="71"/>
      <c r="AC133" s="71"/>
      <c r="AD133" s="71"/>
      <c r="AE133" s="71"/>
      <c r="AF133" s="71"/>
      <c r="AG133" s="71"/>
      <c r="AH133" s="71"/>
      <c r="AI133" s="71"/>
      <c r="AJ133" s="71"/>
      <c r="AK133" s="71"/>
      <c r="AL133" s="71"/>
      <c r="AM133" s="71"/>
      <c r="AN133" s="71"/>
      <c r="AO133" s="71"/>
      <c r="AP133" s="71"/>
      <c r="AQ133" s="71"/>
      <c r="AR133" s="71"/>
      <c r="AS133" s="71"/>
      <c r="AT133" s="71"/>
      <c r="AU133" s="71"/>
      <c r="AV133" s="71"/>
      <c r="AW133" s="71"/>
      <c r="AX133" s="71"/>
      <c r="AY133" s="71"/>
      <c r="AZ133" s="71"/>
      <c r="BA133" s="71"/>
      <c r="BB133" s="71"/>
    </row>
    <row r="134" spans="1:54">
      <c r="A134" t="s" s="31">
        <v>1075</v>
      </c>
      <c r="B134" s="313"/>
      <c r="C134" s="316"/>
      <c r="D134" t="s" s="26">
        <v>250</v>
      </c>
      <c r="E134" s="71"/>
      <c r="F134" s="71"/>
      <c r="G134" s="71"/>
      <c r="H134" s="71"/>
      <c r="I134" s="71"/>
      <c r="J134" s="71"/>
      <c r="K134" s="71"/>
      <c r="L134" s="71"/>
      <c r="M134" s="71"/>
      <c r="N134" s="71"/>
      <c r="O134" s="71"/>
      <c r="P134" s="71"/>
      <c r="Q134" s="71"/>
      <c r="R134" s="71"/>
      <c r="S134" s="71"/>
      <c r="T134" s="71"/>
      <c r="U134" s="71"/>
      <c r="V134" s="71"/>
      <c r="W134" s="71"/>
      <c r="X134" s="71"/>
      <c r="Y134" s="71"/>
      <c r="Z134" s="71"/>
      <c r="AA134" s="71"/>
      <c r="AB134" s="71"/>
      <c r="AC134" s="71"/>
      <c r="AD134" s="71"/>
      <c r="AE134" s="71"/>
      <c r="AF134" s="71"/>
      <c r="AG134" s="71"/>
      <c r="AH134" s="71"/>
      <c r="AI134" s="71"/>
      <c r="AJ134" s="71"/>
      <c r="AK134" s="71"/>
      <c r="AL134" s="71"/>
      <c r="AM134" s="71"/>
      <c r="AN134" s="71"/>
      <c r="AO134" s="71"/>
      <c r="AP134" s="71"/>
      <c r="AQ134" s="71"/>
      <c r="AR134" s="71"/>
      <c r="AS134" s="71"/>
      <c r="AT134" s="71"/>
      <c r="AU134" s="71"/>
      <c r="AV134" s="71"/>
      <c r="AW134" s="71"/>
      <c r="AX134" s="71"/>
      <c r="AY134" s="71"/>
      <c r="AZ134" s="71"/>
      <c r="BA134" s="71"/>
      <c r="BB134" s="71"/>
    </row>
    <row r="135" spans="1:54">
      <c r="A135" t="s" s="31">
        <v>426</v>
      </c>
      <c r="B135" s="313"/>
      <c r="C135" t="s" s="317">
        <v>427</v>
      </c>
      <c r="D135" t="s" s="22">
        <v>1782</v>
      </c>
      <c r="E135" s="148"/>
      <c r="F135" s="148"/>
      <c r="G135" s="148"/>
      <c r="H135" s="148"/>
      <c r="I135" s="148"/>
      <c r="J135" s="148"/>
      <c r="K135" s="148"/>
      <c r="L135" s="148"/>
      <c r="M135" s="148"/>
      <c r="N135" s="148"/>
      <c r="O135" s="148"/>
      <c r="P135" s="148"/>
      <c r="Q135" s="148"/>
      <c r="R135" s="148"/>
      <c r="S135" s="148"/>
      <c r="T135" s="148"/>
      <c r="U135" s="148"/>
      <c r="V135" s="148"/>
      <c r="W135" s="148"/>
      <c r="X135" s="148"/>
      <c r="Y135" s="148"/>
      <c r="Z135" s="148"/>
      <c r="AA135" s="148"/>
      <c r="AB135" s="148"/>
      <c r="AC135" s="148"/>
      <c r="AD135" s="148"/>
      <c r="AE135" s="148"/>
      <c r="AF135" s="148"/>
      <c r="AG135" s="148"/>
      <c r="AH135" s="148"/>
      <c r="AI135" s="148"/>
      <c r="AJ135" s="148"/>
      <c r="AK135" s="148"/>
      <c r="AL135" s="148"/>
      <c r="AM135" s="148"/>
      <c r="AN135" s="148"/>
      <c r="AO135" s="148"/>
      <c r="AP135" s="148"/>
      <c r="AQ135" s="148"/>
      <c r="AR135" s="148"/>
      <c r="AS135" s="148"/>
      <c r="AT135" s="148"/>
      <c r="AU135" s="148"/>
      <c r="AV135" s="148"/>
      <c r="AW135" s="148"/>
      <c r="AX135" s="148"/>
      <c r="AY135" s="148"/>
      <c r="AZ135" s="148"/>
      <c r="BA135" s="148"/>
      <c r="BB135" s="148"/>
    </row>
    <row r="136" spans="1:54">
      <c r="A136" t="s" s="31">
        <v>1542</v>
      </c>
      <c r="B136" s="313"/>
      <c r="C136" s="315"/>
      <c r="D136" t="s" s="22">
        <v>325</v>
      </c>
      <c r="E136" s="148"/>
      <c r="F136" s="148"/>
      <c r="G136" s="148"/>
      <c r="H136" s="148"/>
      <c r="I136" s="148"/>
      <c r="J136" s="148"/>
      <c r="K136" s="148"/>
      <c r="L136" s="148"/>
      <c r="M136" s="148"/>
      <c r="N136" s="148"/>
      <c r="O136" s="148"/>
      <c r="P136" s="148"/>
      <c r="Q136" s="148"/>
      <c r="R136" s="148"/>
      <c r="S136" s="148"/>
      <c r="T136" s="148"/>
      <c r="U136" s="148"/>
      <c r="V136" s="148"/>
      <c r="W136" s="148"/>
      <c r="X136" s="148"/>
      <c r="Y136" s="148"/>
      <c r="Z136" s="148"/>
      <c r="AA136" s="148"/>
      <c r="AB136" s="148"/>
      <c r="AC136" s="148"/>
      <c r="AD136" s="148"/>
      <c r="AE136" s="148"/>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row>
    <row r="137" spans="1:54">
      <c r="A137" t="s" s="31">
        <v>1553</v>
      </c>
      <c r="B137" s="313"/>
      <c r="C137" s="315"/>
      <c r="D137" t="s" s="22">
        <v>387</v>
      </c>
      <c r="E137" s="148"/>
      <c r="F137" s="148"/>
      <c r="G137" s="148"/>
      <c r="H137" s="148"/>
      <c r="I137" s="148"/>
      <c r="J137" s="148"/>
      <c r="K137" s="148"/>
      <c r="L137" s="148"/>
      <c r="M137" s="148"/>
      <c r="N137" s="148"/>
      <c r="O137" s="148"/>
      <c r="P137" s="148"/>
      <c r="Q137" s="148"/>
      <c r="R137" s="148"/>
      <c r="S137" s="148"/>
      <c r="T137" s="148"/>
      <c r="U137" s="148"/>
      <c r="V137" s="148"/>
      <c r="W137" s="148"/>
      <c r="X137" s="148"/>
      <c r="Y137" s="148"/>
      <c r="Z137" s="148"/>
      <c r="AA137" s="148"/>
      <c r="AB137" s="148"/>
      <c r="AC137" s="148"/>
      <c r="AD137" s="148"/>
      <c r="AE137" s="148"/>
      <c r="AF137" s="148"/>
      <c r="AG137" s="148"/>
      <c r="AH137" s="148"/>
      <c r="AI137" s="148"/>
      <c r="AJ137" s="148"/>
      <c r="AK137" s="148"/>
      <c r="AL137" s="148"/>
      <c r="AM137" s="148"/>
      <c r="AN137" s="148"/>
      <c r="AO137" s="148"/>
      <c r="AP137" s="148"/>
      <c r="AQ137" s="148"/>
      <c r="AR137" s="148"/>
      <c r="AS137" s="148"/>
      <c r="AT137" s="148"/>
      <c r="AU137" s="148"/>
      <c r="AV137" s="148"/>
      <c r="AW137" s="148"/>
      <c r="AX137" s="148"/>
      <c r="AY137" s="148"/>
      <c r="AZ137" s="148"/>
      <c r="BA137" s="148"/>
      <c r="BB137" s="148"/>
    </row>
    <row r="138" spans="1:54">
      <c r="A138" t="s" s="31">
        <v>907</v>
      </c>
      <c r="B138" s="313"/>
      <c r="C138" s="315"/>
      <c r="D138" t="s" s="22">
        <v>1653</v>
      </c>
      <c r="E138" s="148"/>
      <c r="F138" s="148"/>
      <c r="G138" s="148"/>
      <c r="H138" s="148"/>
      <c r="I138" s="148"/>
      <c r="J138" s="148"/>
      <c r="K138" s="148"/>
      <c r="L138" s="148"/>
      <c r="M138" s="148"/>
      <c r="N138" s="148"/>
      <c r="O138" s="148"/>
      <c r="P138" s="148"/>
      <c r="Q138" s="148"/>
      <c r="R138" s="148"/>
      <c r="S138" s="148"/>
      <c r="T138" s="148"/>
      <c r="U138" s="148"/>
      <c r="V138" s="148"/>
      <c r="W138" s="148"/>
      <c r="X138" s="148"/>
      <c r="Y138" s="148"/>
      <c r="Z138" s="148"/>
      <c r="AA138" s="148"/>
      <c r="AB138" s="148"/>
      <c r="AC138" s="148"/>
      <c r="AD138" s="148"/>
      <c r="AE138" s="148"/>
      <c r="AF138" s="148"/>
      <c r="AG138" s="148"/>
      <c r="AH138" s="148"/>
      <c r="AI138" s="148"/>
      <c r="AJ138" s="148"/>
      <c r="AK138" s="148"/>
      <c r="AL138" s="148"/>
      <c r="AM138" s="148"/>
      <c r="AN138" s="148"/>
      <c r="AO138" s="148"/>
      <c r="AP138" s="148"/>
      <c r="AQ138" s="148"/>
      <c r="AR138" s="148"/>
      <c r="AS138" s="148"/>
      <c r="AT138" s="148"/>
      <c r="AU138" s="148"/>
      <c r="AV138" s="148"/>
      <c r="AW138" s="148"/>
      <c r="AX138" s="148"/>
      <c r="AY138" s="148"/>
      <c r="AZ138" s="148"/>
      <c r="BA138" s="148"/>
      <c r="BB138" s="148"/>
    </row>
    <row r="139" spans="1:54">
      <c r="A139" t="s" s="31">
        <v>587</v>
      </c>
      <c r="B139" s="313"/>
      <c r="C139" s="315"/>
      <c r="D139" t="s" s="22">
        <v>1782</v>
      </c>
      <c r="E139" s="148"/>
      <c r="F139" s="148"/>
      <c r="G139" s="148"/>
      <c r="H139" s="148"/>
      <c r="I139" s="148"/>
      <c r="J139" s="148"/>
      <c r="K139" s="148"/>
      <c r="L139" s="148"/>
      <c r="M139" s="148"/>
      <c r="N139" s="148"/>
      <c r="O139" s="148"/>
      <c r="P139" s="148"/>
      <c r="Q139" s="148"/>
      <c r="R139" s="148"/>
      <c r="S139" s="148"/>
      <c r="T139" s="148"/>
      <c r="U139" s="148"/>
      <c r="V139" s="148"/>
      <c r="W139" s="148"/>
      <c r="X139" s="148"/>
      <c r="Y139" s="148"/>
      <c r="Z139" s="148"/>
      <c r="AA139" s="148"/>
      <c r="AB139" s="148"/>
      <c r="AC139" s="148"/>
      <c r="AD139" s="148"/>
      <c r="AE139" s="148"/>
      <c r="AF139" s="148"/>
      <c r="AG139" s="148"/>
      <c r="AH139" s="148"/>
      <c r="AI139" s="148"/>
      <c r="AJ139" s="148"/>
      <c r="AK139" s="148"/>
      <c r="AL139" s="148"/>
      <c r="AM139" s="148"/>
      <c r="AN139" s="148"/>
      <c r="AO139" s="148"/>
      <c r="AP139" s="148"/>
      <c r="AQ139" s="148"/>
      <c r="AR139" s="148"/>
      <c r="AS139" s="148"/>
      <c r="AT139" s="148"/>
      <c r="AU139" s="148"/>
      <c r="AV139" s="148"/>
      <c r="AW139" s="148"/>
      <c r="AX139" s="148"/>
      <c r="AY139" s="148"/>
      <c r="AZ139" s="148"/>
      <c r="BA139" s="148"/>
      <c r="BB139" s="148"/>
    </row>
    <row r="140" spans="1:54">
      <c r="A140" t="s" s="31">
        <v>618</v>
      </c>
      <c r="B140" s="313"/>
      <c r="C140" s="315"/>
      <c r="D140" t="s" s="22">
        <v>325</v>
      </c>
      <c r="E140" s="148"/>
      <c r="F140" s="148"/>
      <c r="G140" s="148"/>
      <c r="H140" s="148"/>
      <c r="I140" s="148"/>
      <c r="J140" s="148"/>
      <c r="K140" s="148"/>
      <c r="L140" s="148"/>
      <c r="M140" s="148"/>
      <c r="N140" s="148"/>
      <c r="O140" s="148"/>
      <c r="P140" s="148"/>
      <c r="Q140" s="148"/>
      <c r="R140" s="148"/>
      <c r="S140" s="148"/>
      <c r="T140" s="148"/>
      <c r="U140" s="148"/>
      <c r="V140" s="148"/>
      <c r="W140" s="148"/>
      <c r="X140" s="148"/>
      <c r="Y140" s="148"/>
      <c r="Z140" s="148"/>
      <c r="AA140" s="148"/>
      <c r="AB140" s="148"/>
      <c r="AC140" s="148"/>
      <c r="AD140" s="148"/>
      <c r="AE140" s="148"/>
      <c r="AF140" s="148"/>
      <c r="AG140" s="148"/>
      <c r="AH140" s="148"/>
      <c r="AI140" s="148"/>
      <c r="AJ140" s="148"/>
      <c r="AK140" s="148"/>
      <c r="AL140" s="148"/>
      <c r="AM140" s="148"/>
      <c r="AN140" s="148"/>
      <c r="AO140" s="148"/>
      <c r="AP140" s="148"/>
      <c r="AQ140" s="148"/>
      <c r="AR140" s="148"/>
      <c r="AS140" s="148"/>
      <c r="AT140" s="148"/>
      <c r="AU140" s="148"/>
      <c r="AV140" s="148"/>
      <c r="AW140" s="148"/>
      <c r="AX140" s="148"/>
      <c r="AY140" s="148"/>
      <c r="AZ140" s="148"/>
      <c r="BA140" s="148"/>
      <c r="BB140" s="148"/>
    </row>
    <row r="141" spans="1:54">
      <c r="A141" t="s" s="31">
        <v>1078</v>
      </c>
      <c r="B141" s="313"/>
      <c r="C141" s="315"/>
      <c r="D141" t="s" s="22">
        <v>387</v>
      </c>
      <c r="E141" s="148"/>
      <c r="F141" s="148"/>
      <c r="G141" s="148"/>
      <c r="H141" s="148"/>
      <c r="I141" s="148"/>
      <c r="J141" s="148"/>
      <c r="K141" s="148"/>
      <c r="L141" s="148"/>
      <c r="M141" s="148"/>
      <c r="N141" s="148"/>
      <c r="O141" s="148"/>
      <c r="P141" s="148"/>
      <c r="Q141" s="148"/>
      <c r="R141" s="148"/>
      <c r="S141" s="148"/>
      <c r="T141" s="148"/>
      <c r="U141" s="148"/>
      <c r="V141" s="148"/>
      <c r="W141" s="148"/>
      <c r="X141" s="148"/>
      <c r="Y141" s="148"/>
      <c r="Z141" s="148"/>
      <c r="AA141" s="148"/>
      <c r="AB141" s="148"/>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row>
    <row r="142" spans="1:54">
      <c r="A142" t="s" s="31">
        <v>1809</v>
      </c>
      <c r="B142" s="313"/>
      <c r="C142" s="316"/>
      <c r="D142" t="s" s="22">
        <v>1653</v>
      </c>
      <c r="E142" s="148"/>
      <c r="F142" s="148"/>
      <c r="G142" s="148"/>
      <c r="H142" s="148"/>
      <c r="I142" s="148"/>
      <c r="J142" s="148"/>
      <c r="K142" s="148"/>
      <c r="L142" s="148"/>
      <c r="M142" s="148"/>
      <c r="N142" s="148"/>
      <c r="O142" s="148"/>
      <c r="P142" s="148"/>
      <c r="Q142" s="148"/>
      <c r="R142" s="148"/>
      <c r="S142" s="148"/>
      <c r="T142" s="148"/>
      <c r="U142" s="148"/>
      <c r="V142" s="148"/>
      <c r="W142" s="148"/>
      <c r="X142" s="148"/>
      <c r="Y142" s="148"/>
      <c r="Z142" s="148"/>
      <c r="AA142" s="148"/>
      <c r="AB142" s="148"/>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row>
    <row r="143" spans="1:54">
      <c r="A143" t="s" s="31">
        <v>1656</v>
      </c>
      <c r="B143" s="313"/>
      <c r="C143" t="s" s="317">
        <v>1640</v>
      </c>
      <c r="D143" t="s" s="22">
        <v>1782</v>
      </c>
      <c r="E143" s="148"/>
      <c r="F143" s="148"/>
      <c r="G143" s="148"/>
      <c r="H143" s="148"/>
      <c r="I143" s="148"/>
      <c r="J143" s="148"/>
      <c r="K143" s="148"/>
      <c r="L143" s="148"/>
      <c r="M143" s="148"/>
      <c r="N143" s="148"/>
      <c r="O143" s="148"/>
      <c r="P143" s="148"/>
      <c r="Q143" s="148"/>
      <c r="R143" s="148"/>
      <c r="S143" s="148"/>
      <c r="T143" s="148"/>
      <c r="U143" s="148"/>
      <c r="V143" s="148"/>
      <c r="W143" s="148"/>
      <c r="X143" s="148"/>
      <c r="Y143" s="148"/>
      <c r="Z143" s="148"/>
      <c r="AA143" s="148"/>
      <c r="AB143" s="148"/>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row>
    <row r="144" spans="1:54">
      <c r="A144" t="s" s="31">
        <v>439</v>
      </c>
      <c r="B144" s="313"/>
      <c r="C144" s="315"/>
      <c r="D144" t="s" s="22">
        <v>325</v>
      </c>
      <c r="E144" s="148"/>
      <c r="F144" s="148"/>
      <c r="G144" s="148"/>
      <c r="H144" s="148"/>
      <c r="I144" s="148"/>
      <c r="J144" s="148"/>
      <c r="K144" s="148"/>
      <c r="L144" s="148"/>
      <c r="M144" s="148"/>
      <c r="N144" s="148"/>
      <c r="O144" s="148"/>
      <c r="P144" s="148"/>
      <c r="Q144" s="148"/>
      <c r="R144" s="148"/>
      <c r="S144" s="148"/>
      <c r="T144" s="148"/>
      <c r="U144" s="148"/>
      <c r="V144" s="148"/>
      <c r="W144" s="148"/>
      <c r="X144" s="148"/>
      <c r="Y144" s="148"/>
      <c r="Z144" s="148"/>
      <c r="AA144" s="148"/>
      <c r="AB144" s="148"/>
      <c r="AC144" s="148"/>
      <c r="AD144" s="148"/>
      <c r="AE144" s="148"/>
      <c r="AF144" s="148"/>
      <c r="AG144" s="148"/>
      <c r="AH144" s="148"/>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row>
    <row r="145" spans="1:54">
      <c r="A145" t="s" s="31">
        <v>634</v>
      </c>
      <c r="B145" s="313"/>
      <c r="C145" s="315"/>
      <c r="D145" t="s" s="22">
        <v>387</v>
      </c>
      <c r="E145" s="148"/>
      <c r="F145" s="148"/>
      <c r="G145" s="148"/>
      <c r="H145" s="148"/>
      <c r="I145" s="148"/>
      <c r="J145" s="148"/>
      <c r="K145" s="148"/>
      <c r="L145" s="148"/>
      <c r="M145" s="148"/>
      <c r="N145" s="148"/>
      <c r="O145" s="148"/>
      <c r="P145" s="148"/>
      <c r="Q145" s="148"/>
      <c r="R145" s="148"/>
      <c r="S145" s="148"/>
      <c r="T145" s="148"/>
      <c r="U145" s="148"/>
      <c r="V145" s="148"/>
      <c r="W145" s="148"/>
      <c r="X145" s="148"/>
      <c r="Y145" s="148"/>
      <c r="Z145" s="148"/>
      <c r="AA145" s="148"/>
      <c r="AB145" s="148"/>
      <c r="AC145" s="148"/>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row>
    <row r="146" spans="1:54">
      <c r="A146" t="s" s="31">
        <v>1596</v>
      </c>
      <c r="B146" s="313"/>
      <c r="C146" s="315"/>
      <c r="D146" t="s" s="22">
        <v>1653</v>
      </c>
      <c r="E146" s="148"/>
      <c r="F146" s="148"/>
      <c r="G146" s="148"/>
      <c r="H146" s="148"/>
      <c r="I146" s="148"/>
      <c r="J146" s="148"/>
      <c r="K146" s="148"/>
      <c r="L146" s="148"/>
      <c r="M146" s="148"/>
      <c r="N146" s="148"/>
      <c r="O146" s="148"/>
      <c r="P146" s="148"/>
      <c r="Q146" s="148"/>
      <c r="R146" s="148"/>
      <c r="S146" s="148"/>
      <c r="T146" s="148"/>
      <c r="U146" s="148"/>
      <c r="V146" s="148"/>
      <c r="W146" s="148"/>
      <c r="X146" s="148"/>
      <c r="Y146" s="148"/>
      <c r="Z146" s="148"/>
      <c r="AA146" s="148"/>
      <c r="AB146" s="148"/>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row>
    <row r="147" spans="1:54">
      <c r="A147" t="s" s="31">
        <v>1235</v>
      </c>
      <c r="B147" s="313"/>
      <c r="C147" s="315"/>
      <c r="D147" t="s" s="22">
        <v>1182</v>
      </c>
      <c r="E147" s="148"/>
      <c r="F147" s="148"/>
      <c r="G147" s="148"/>
      <c r="H147" s="148"/>
      <c r="I147" s="148"/>
      <c r="J147" s="148"/>
      <c r="K147" s="148"/>
      <c r="L147" s="148"/>
      <c r="M147" s="148"/>
      <c r="N147" s="148"/>
      <c r="O147" s="148"/>
      <c r="P147" s="148"/>
      <c r="Q147" s="148"/>
      <c r="R147" s="148"/>
      <c r="S147" s="148"/>
      <c r="T147" s="148"/>
      <c r="U147" s="148"/>
      <c r="V147" s="148"/>
      <c r="W147" s="148"/>
      <c r="X147" s="148"/>
      <c r="Y147" s="148"/>
      <c r="Z147" s="148"/>
      <c r="AA147" s="148"/>
      <c r="AB147" s="148"/>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row>
    <row r="148" spans="1:54">
      <c r="A148" t="s" s="31">
        <v>440</v>
      </c>
      <c r="B148" s="313"/>
      <c r="C148" s="315"/>
      <c r="D148" t="s" s="22">
        <v>795</v>
      </c>
      <c r="E148" s="148"/>
      <c r="F148" s="148"/>
      <c r="G148" s="148"/>
      <c r="H148" s="148"/>
      <c r="I148" s="148"/>
      <c r="J148" s="148"/>
      <c r="K148" s="148"/>
      <c r="L148" s="148"/>
      <c r="M148" s="148"/>
      <c r="N148" s="148"/>
      <c r="O148" s="148"/>
      <c r="P148" s="148"/>
      <c r="Q148" s="148"/>
      <c r="R148" s="148"/>
      <c r="S148" s="148"/>
      <c r="T148" s="148"/>
      <c r="U148" s="148"/>
      <c r="V148" s="148"/>
      <c r="W148" s="148"/>
      <c r="X148" s="148"/>
      <c r="Y148" s="148"/>
      <c r="Z148" s="148"/>
      <c r="AA148" s="148"/>
      <c r="AB148" s="148"/>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row>
    <row r="149" spans="1:54">
      <c r="A149" t="s" s="31">
        <v>682</v>
      </c>
      <c r="B149" s="313"/>
      <c r="C149" s="315"/>
      <c r="D149" t="s" s="22">
        <v>1151</v>
      </c>
      <c r="E149" s="148"/>
      <c r="F149" s="148"/>
      <c r="G149" s="148"/>
      <c r="H149" s="148"/>
      <c r="I149" s="148"/>
      <c r="J149" s="148"/>
      <c r="K149" s="148"/>
      <c r="L149" s="148"/>
      <c r="M149" s="148"/>
      <c r="N149" s="148"/>
      <c r="O149" s="148"/>
      <c r="P149" s="148"/>
      <c r="Q149" s="148"/>
      <c r="R149" s="148"/>
      <c r="S149" s="148"/>
      <c r="T149" s="148"/>
      <c r="U149" s="148"/>
      <c r="V149" s="148"/>
      <c r="W149" s="148"/>
      <c r="X149" s="148"/>
      <c r="Y149" s="148"/>
      <c r="Z149" s="148"/>
      <c r="AA149" s="148"/>
      <c r="AB149" s="148"/>
      <c r="AC149" s="148"/>
      <c r="AD149" s="148"/>
      <c r="AE149" s="148"/>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row>
    <row r="150" spans="1:54">
      <c r="A150" t="s" s="31">
        <v>127</v>
      </c>
      <c r="B150" s="313"/>
      <c r="C150" s="316"/>
      <c r="D150" t="s" s="22">
        <v>83</v>
      </c>
      <c r="E150" s="148"/>
      <c r="F150" s="148"/>
      <c r="G150" s="148"/>
      <c r="H150" s="148"/>
      <c r="I150" s="148"/>
      <c r="J150" s="148"/>
      <c r="K150" s="148"/>
      <c r="L150" s="148"/>
      <c r="M150" s="148"/>
      <c r="N150" s="148"/>
      <c r="O150" s="148"/>
      <c r="P150" s="148"/>
      <c r="Q150" s="148"/>
      <c r="R150" s="148"/>
      <c r="S150" s="148"/>
      <c r="T150" s="148"/>
      <c r="U150" s="148"/>
      <c r="V150" s="148"/>
      <c r="W150" s="148"/>
      <c r="X150" s="148"/>
      <c r="Y150" s="148"/>
      <c r="Z150" s="148"/>
      <c r="AA150" s="148"/>
      <c r="AB150" s="148"/>
      <c r="AC150" s="148"/>
      <c r="AD150" s="148"/>
      <c r="AE150" s="148"/>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row>
  </sheetData>
  <mergeCells count="32">
    <mergeCell ref="D109:BB109"/>
    <mergeCell ref="D122:BB122"/>
    <mergeCell ref="D119:BB119"/>
    <mergeCell ref="B122:B123"/>
    <mergeCell ref="D100:BB100"/>
    <mergeCell ref="C101:C118"/>
    <mergeCell ref="B100:B118"/>
    <mergeCell ref="B119:B121"/>
    <mergeCell ref="D130:BB130"/>
    <mergeCell ref="B130:B150"/>
    <mergeCell ref="C131:C134"/>
    <mergeCell ref="C135:C142"/>
    <mergeCell ref="C143:C150"/>
    <mergeCell ref="C1:D3"/>
    <mergeCell ref="B1:B3"/>
    <mergeCell ref="B5:B17"/>
    <mergeCell ref="C6:C11"/>
    <mergeCell ref="D18:BB18"/>
    <mergeCell ref="D5:BB5"/>
    <mergeCell ref="D50:BB50"/>
    <mergeCell ref="D91:BB91"/>
    <mergeCell ref="C12:C17"/>
    <mergeCell ref="B18:B48"/>
    <mergeCell ref="B91:B99"/>
    <mergeCell ref="C19:C23"/>
    <mergeCell ref="C30:C42"/>
    <mergeCell ref="C24:C29"/>
    <mergeCell ref="C43:C44"/>
    <mergeCell ref="C45:C46"/>
    <mergeCell ref="C51:C99"/>
    <mergeCell ref="B50:B90"/>
    <mergeCell ref="C47:C48"/>
  </mergeCells>
  <conditionalFormatting sqref="E90:BB90">
    <cfRule type="expression" dxfId="36" priority="1">
      <formula>IF(OR(E90="",E90=0),TRUE,FALSE)</formula>
    </cfRule>
  </conditionalFormatting>
  <conditionalFormatting sqref="E80:BB80">
    <cfRule type="expression" dxfId="35" priority="2">
      <formula>IF(OR(E80="",E80=0),TRUE,FALSE)</formula>
    </cfRule>
  </conditionalFormatting>
  <conditionalFormatting sqref="E70:BB70">
    <cfRule type="expression" dxfId="34" priority="3">
      <formula>IF(OR(E70="",E70=0),TRUE,FALSE)</formula>
    </cfRule>
  </conditionalFormatting>
  <conditionalFormatting sqref="F134:BB134">
    <cfRule type="expression" dxfId="33" priority="4">
      <formula>IF(OR(F134="",F134=0),TRUE,FALSE)</formula>
    </cfRule>
  </conditionalFormatting>
  <conditionalFormatting sqref="F133:BB133">
    <cfRule type="expression" dxfId="32" priority="5">
      <formula>IF(OR(F133="",F133=0),TRUE,FALSE)</formula>
    </cfRule>
  </conditionalFormatting>
  <conditionalFormatting sqref="F132:BB132">
    <cfRule type="expression" dxfId="31" priority="6">
      <formula>IF(OR(F132="",F132=0),TRUE,FALSE)</formula>
    </cfRule>
  </conditionalFormatting>
  <conditionalFormatting sqref="F131:BB131">
    <cfRule type="expression" dxfId="30" priority="7">
      <formula>IF(OR(F131="",F131=0),TRUE,FALSE)</formula>
    </cfRule>
  </conditionalFormatting>
  <conditionalFormatting sqref="E84">
    <cfRule type="expression" dxfId="29" priority="8">
      <formula>IF(OR(E84="",E84=0),TRUE,FALSE)</formula>
    </cfRule>
  </conditionalFormatting>
  <conditionalFormatting sqref="E85:E86">
    <cfRule type="expression" dxfId="28" priority="9">
      <formula>IF(OR(E85="",E85=0),TRUE,FALSE)</formula>
    </cfRule>
  </conditionalFormatting>
  <conditionalFormatting sqref="E121:BB121">
    <cfRule type="expression" dxfId="27" priority="10">
      <formula>IF(OR(E121="",E121=0),TRUE,FALSE)</formula>
    </cfRule>
  </conditionalFormatting>
  <conditionalFormatting sqref="E120:BB120">
    <cfRule type="expression" dxfId="26" priority="11">
      <formula>IF(OR(E120="",E120=0),TRUE,FALSE)</formula>
    </cfRule>
  </conditionalFormatting>
  <conditionalFormatting sqref="E110:BB118">
    <cfRule type="expression" dxfId="25" priority="12">
      <formula>IF(OR(E110="",E110=0),TRUE,FALSE)</formula>
    </cfRule>
  </conditionalFormatting>
  <conditionalFormatting sqref="E107:BB107">
    <cfRule type="expression" dxfId="24" priority="13">
      <formula>IF(OR(E107="",E107=0),TRUE,FALSE)</formula>
    </cfRule>
  </conditionalFormatting>
  <conditionalFormatting sqref="E105:BB105">
    <cfRule type="expression" dxfId="23" priority="14">
      <formula>IF(OR(E105="",E105=0),TRUE,FALSE)</formula>
    </cfRule>
  </conditionalFormatting>
  <conditionalFormatting sqref="E103:BB103">
    <cfRule type="expression" dxfId="22" priority="15">
      <formula>IF(OR(E103="",E103=0),TRUE,FALSE)</formula>
    </cfRule>
  </conditionalFormatting>
  <conditionalFormatting sqref="F101:BB101">
    <cfRule type="expression" dxfId="21" priority="16">
      <formula>IF(OR(F101="",F101=0),TRUE,FALSE)</formula>
    </cfRule>
  </conditionalFormatting>
  <conditionalFormatting sqref="E101">
    <cfRule type="expression" dxfId="20" priority="17">
      <formula>IF(OR(E101="",E101=0),TRUE,FALSE)</formula>
    </cfRule>
  </conditionalFormatting>
  <conditionalFormatting sqref="E108:BB108">
    <cfRule type="expression" dxfId="19" priority="18">
      <formula>IF(OR(E108="",E108=0),TRUE,FALSE)</formula>
    </cfRule>
  </conditionalFormatting>
  <conditionalFormatting sqref="E106:BB106">
    <cfRule type="expression" dxfId="18" priority="19">
      <formula>IF(OR(E106="",E106=0),TRUE,FALSE)</formula>
    </cfRule>
  </conditionalFormatting>
  <conditionalFormatting sqref="E104:BB104">
    <cfRule type="expression" dxfId="17" priority="20">
      <formula>IF(OR(E104="",E104=0),TRUE,FALSE)</formula>
    </cfRule>
  </conditionalFormatting>
  <conditionalFormatting sqref="F102:BB102">
    <cfRule type="expression" dxfId="16" priority="21">
      <formula>IF(OR(F102="",F102=0),TRUE,FALSE)</formula>
    </cfRule>
  </conditionalFormatting>
  <conditionalFormatting sqref="E102">
    <cfRule type="expression" dxfId="15" priority="22">
      <formula>IF(OR(E102="",E102=0),TRUE,FALSE)</formula>
    </cfRule>
  </conditionalFormatting>
  <conditionalFormatting sqref="F123:BB123">
    <cfRule type="containsBlanks" dxfId="14" priority="23">
      <formula>LEN(TRIM(A1))=0</formula>
    </cfRule>
  </conditionalFormatting>
  <conditionalFormatting sqref="E123">
    <cfRule type="containsBlanks" dxfId="13" priority="24">
      <formula>LEN(TRIM(A1))=0</formula>
    </cfRule>
  </conditionalFormatting>
  <conditionalFormatting sqref="F84:BB84">
    <cfRule type="expression" dxfId="12" priority="25">
      <formula>IF(OR(F84="",F84=0),TRUE,FALSE)</formula>
    </cfRule>
  </conditionalFormatting>
  <conditionalFormatting sqref="E74:BB74">
    <cfRule type="expression" dxfId="11" priority="26">
      <formula>IF(OR(E74="",E74=0),TRUE,FALSE)</formula>
    </cfRule>
  </conditionalFormatting>
  <conditionalFormatting sqref="E64:BB64">
    <cfRule type="expression" dxfId="10" priority="27">
      <formula>IF(OR(E64="",E64=0),TRUE,FALSE)</formula>
    </cfRule>
  </conditionalFormatting>
  <conditionalFormatting sqref="E134">
    <cfRule type="expression" dxfId="9" priority="28">
      <formula>IF(OR(E134="",E134=0),TRUE,FALSE)</formula>
    </cfRule>
  </conditionalFormatting>
  <conditionalFormatting sqref="E133">
    <cfRule type="expression" dxfId="8" priority="29">
      <formula>IF(OR(E133="",E133=0),TRUE,FALSE)</formula>
    </cfRule>
  </conditionalFormatting>
  <conditionalFormatting sqref="E132">
    <cfRule type="expression" dxfId="7" priority="30">
      <formula>IF(OR(E132="",E132=0),TRUE,FALSE)</formula>
    </cfRule>
  </conditionalFormatting>
  <conditionalFormatting sqref="E89:BB89">
    <cfRule type="expression" dxfId="6" priority="31">
      <formula>IF(OR(E89="",E89=0),TRUE,FALSE)</formula>
    </cfRule>
  </conditionalFormatting>
  <conditionalFormatting sqref="E88:BB88">
    <cfRule type="expression" dxfId="5" priority="32">
      <formula>IF(OR(E88="",E88=0),TRUE,FALSE)</formula>
    </cfRule>
  </conditionalFormatting>
  <conditionalFormatting sqref="E79:BB79">
    <cfRule type="expression" dxfId="4" priority="33">
      <formula>IF(OR(E79="",E79=0),TRUE,FALSE)</formula>
    </cfRule>
  </conditionalFormatting>
  <conditionalFormatting sqref="E78:BB78">
    <cfRule type="expression" dxfId="3" priority="34">
      <formula>IF(OR(E78="",E78=0),TRUE,FALSE)</formula>
    </cfRule>
  </conditionalFormatting>
  <conditionalFormatting sqref="E69:BB69">
    <cfRule type="expression" dxfId="2" priority="35">
      <formula>IF(OR(E69="",E69=0),TRUE,FALSE)</formula>
    </cfRule>
  </conditionalFormatting>
  <conditionalFormatting sqref="E92:BB99 E71:BB73 E6:BB17 E81:BB83 F85:BB86 BC63:IV63 E65:BB68 E75:BB77 E87:BB87 E131 E51:BB63 E19:BB49">
    <cfRule type="expression" dxfId="1" priority="36">
      <formula>IF(OR(E92="",E92=0),TRUE,FALSE)</formula>
    </cfRule>
  </conditionalFormatting>
  <conditionalFormatting sqref="E9:BB9 E11:BB11 E13:BB13 E15:BB15 E17:BB17 E7:BB7">
    <cfRule type="expression" dxfId="0" priority="37" stopIfTrue="1">
      <formula>IF(E8=0,FALSE,IF(E9=0,TRUE,FALSE))</formula>
    </cfRule>
  </conditionalFormatting>
  <dataValidations count="15">
    <dataValidation type="list" allowBlank="1" showInputMessage="1" showErrorMessage="1" sqref="E52:BB52 E62:BB62 E72:BB72 E82:BB82" xr:uid="{00000000-0002-0000-0B00-000000000000}">
      <formula1>INDIRECT(SUBSTITUTE(SUBSTITUTE(SUBSTITUTE(SUBSTITUTE(SUBSTITUTE(E51,"-","_"),"/","_"),")",""),"(","_")," ","_"))</formula1>
    </dataValidation>
    <dataValidation type="list" allowBlank="1" showInputMessage="1" showErrorMessage="1" sqref="E51:BB51 E61:BB61 E71:BB71 E81:BB81" xr:uid="{00000000-0002-0000-0B00-000001000000}">
      <formula1>BATT_TYPE</formula1>
    </dataValidation>
    <dataValidation type="decimal" allowBlank="1" showInputMessage="1" showErrorMessage="1" sqref="E9:BB9" xr:uid="{00000000-0002-0000-0B00-000002000000}">
      <formula1>0.0001</formula1>
      <formula2>10000</formula2>
    </dataValidation>
    <dataValidation type="whole" allowBlank="1" showInputMessage="1" showErrorMessage="1" sqref="E6:BB6 E8:BB8 E10:BB10 E12:BB12 E14:BB14 E16:BB16" xr:uid="{00000000-0002-0000-0B00-000003000000}">
      <formula1>0</formula1>
      <formula2>100</formula2>
    </dataValidation>
    <dataValidation type="whole" allowBlank="1" showInputMessage="1" showErrorMessage="1" sqref="E53:BB53 E55:BB56 E63:BB63 E65:BB66 E73:BB73 E75:BB76 E83:BB83 E85:BB86" xr:uid="{00000000-0002-0000-0B00-000004000000}">
      <formula1>0</formula1>
      <formula2>200</formula2>
    </dataValidation>
    <dataValidation allowBlank="1" showInputMessage="1" showErrorMessage="1" promptTitle="Gable Top Container" prompt="For liquids and can be fabricated from laminates of liquid packaging baord, foil, and polyethylene. Examples: Tetra Pak or SIG Combibloc used for laundry or cleaning products" sqref="D27" xr:uid="{00000000-0002-0000-0B00-000005000000}"/>
    <dataValidation allowBlank="1" showInputMessage="1" showErrorMessage="1" promptTitle="Aseptic Container" prompt="Steralized polycoated and foilized containers Examples: Soups, sauces, mainly food based" sqref="D28" xr:uid="{00000000-0002-0000-0B00-000006000000}"/>
    <dataValidation allowBlank="1" showInputMessage="1" showErrorMessage="1" prompt="Biodegradable Polymeres" sqref="D36:D38" xr:uid="{00000000-0002-0000-0B00-000007000000}"/>
    <dataValidation type="decimal" allowBlank="1" showInputMessage="1" showErrorMessage="1" sqref="E7:BB7 E11:BB11 E13:BB13 E15:BB15 E17:BB17 E58:BB60 E68:BB70 E78:BB80 E88:BB90 E102:BB102 E104:BB104 E106:BB106 E108:BB108" xr:uid="{00000000-0002-0000-0B00-000008000000}">
      <formula1>0</formula1>
      <formula2>10000</formula2>
    </dataValidation>
    <dataValidation type="whole" allowBlank="1" showInputMessage="1" showErrorMessage="1" sqref="E54:BB54 E64:BB64 E74:BB74 E84:BB84 E101:BB101 E103:BB103 E105:BB105 E107:BB107" xr:uid="{00000000-0002-0000-0B00-000009000000}">
      <formula1>0</formula1>
      <formula2>9999</formula2>
    </dataValidation>
    <dataValidation type="list" allowBlank="1" showInputMessage="1" showErrorMessage="1" sqref="E123:BB123" xr:uid="{00000000-0002-0000-0B00-00000A000000}">
      <formula1>"Y,N"</formula1>
    </dataValidation>
    <dataValidation type="textLength" allowBlank="1" showInputMessage="1" showErrorMessage="1" sqref="E120:BB121" xr:uid="{00000000-0002-0000-0B00-00000B000000}">
      <formula1>1</formula1>
      <formula2>8</formula2>
    </dataValidation>
    <dataValidation type="list" allowBlank="1" showInputMessage="1" showErrorMessage="1" sqref="E57:BB57 E67:BB67 E77:BB77 E87:BB87" xr:uid="{00000000-0002-0000-0B00-00000C000000}">
      <formula1>"S,M"</formula1>
    </dataValidation>
    <dataValidation type="decimal" allowBlank="1" showInputMessage="1" showErrorMessage="1" sqref="E49:BB49" xr:uid="{00000000-0002-0000-0B00-00000D000000}">
      <formula1>0.0001</formula1>
      <formula2>100</formula2>
    </dataValidation>
    <dataValidation type="decimal" allowBlank="1" showInputMessage="1" showErrorMessage="1" sqref="E19:BB48" xr:uid="{00000000-0002-0000-0B00-00000E000000}">
      <formula1>0.0001</formula1>
      <formula2>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40" r:id="rId4" name="Button 1100">
              <controlPr defaultSize="0" print="0" autoFill="0" autoPict="0" macro="[0]!ResetProductCompliance">
                <anchor moveWithCells="1" sizeWithCells="1">
                  <from>
                    <xdr:col>1</xdr:col>
                    <xdr:colOff>25400</xdr:colOff>
                    <xdr:row>0</xdr:row>
                    <xdr:rowOff>12700</xdr:rowOff>
                  </from>
                  <to>
                    <xdr:col>1</xdr:col>
                    <xdr:colOff>165100</xdr:colOff>
                    <xdr:row>2</xdr:row>
                    <xdr:rowOff>114300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
  <sheetViews>
    <sheetView showGridLines="0" zoomScale="90" zoomScaleNormal="90" zoomScaleSheetLayoutView="100" workbookViewId="0">
      <selection activeCell="C42" sqref="C42"/>
    </sheetView>
  </sheetViews>
  <sheetFormatPr baseColWidth="10" defaultColWidth="9.1640625" defaultRowHeight="15" outlineLevelRow="2"/>
  <cols>
    <col min="1" max="2" width="8.6640625" style="245" customWidth="1"/>
    <col min="3" max="3" width="135.83203125" style="245" customWidth="1"/>
    <col min="4" max="4" width="9.1640625" style="245" customWidth="1"/>
    <col min="5" max="16384" width="9.1640625" style="245"/>
  </cols>
  <sheetData>
    <row r="1" spans="1:3" ht="45" customHeight="1">
      <c r="C1" t="s" s="168">
        <v>724</v>
      </c>
    </row>
    <row r="2" spans="1:3" ht="16.5" customHeight="1">
      <c r="C2" s="46"/>
    </row>
    <row r="3" spans="1:3" ht="18.75" customHeight="1">
      <c r="C3" s="46"/>
    </row>
    <row r="4" spans="1:3" ht="21.75" customHeight="1">
      <c r="A4" t="s" s="210">
        <v>471</v>
      </c>
      <c r="B4" s="60"/>
      <c r="C4" s="46"/>
    </row>
    <row r="5" spans="1:3" ht="33" customHeight="1" outlineLevel="1">
      <c r="B5" s="82">
        <v>1</v>
      </c>
      <c r="C5" t="s" s="220">
        <v>235</v>
      </c>
    </row>
    <row r="6" spans="1:3" ht="18" customHeight="1" outlineLevel="1">
      <c r="B6" s="82">
        <v>2</v>
      </c>
      <c r="C6" t="s" s="220">
        <v>1853</v>
      </c>
    </row>
    <row r="7" spans="1:3" ht="31.5" customHeight="1" outlineLevel="1">
      <c r="B7" s="82">
        <v>3</v>
      </c>
      <c r="C7" t="s" s="226">
        <v>1112</v>
      </c>
    </row>
    <row r="8" spans="1:3" ht="18" customHeight="1" outlineLevel="1">
      <c r="B8" s="82">
        <v>4</v>
      </c>
      <c r="C8" t="s" s="226">
        <v>543</v>
      </c>
    </row>
    <row r="9" spans="1:3" ht="18" customHeight="1" outlineLevel="1">
      <c r="B9" s="82">
        <v>5</v>
      </c>
      <c r="C9" t="s" s="226">
        <v>1750</v>
      </c>
    </row>
    <row r="10" spans="1:3" ht="30" customHeight="1" outlineLevel="1">
      <c r="B10" s="82">
        <v>6</v>
      </c>
      <c r="C10" t="s" s="226">
        <v>1974</v>
      </c>
    </row>
    <row r="11" spans="1:3" ht="46" outlineLevel="1">
      <c r="B11" s="82">
        <v>7</v>
      </c>
      <c r="C11" t="s" s="226">
        <v>1975</v>
      </c>
    </row>
    <row r="12" spans="1:3" ht="31.5" customHeight="1" outlineLevel="1">
      <c r="B12" t="s" s="82">
        <v>431</v>
      </c>
      <c r="C12" t="s" s="226">
        <v>1608</v>
      </c>
    </row>
    <row r="13" spans="1:3" ht="18" customHeight="1" outlineLevel="1"/>
    <row r="14" spans="1:3" ht="18" customHeight="1">
      <c r="B14" s="221"/>
      <c r="C14" s="41"/>
    </row>
    <row r="15" spans="1:3" ht="18.75" customHeight="1">
      <c r="A15" t="s" s="210">
        <v>527</v>
      </c>
      <c r="C15" s="41"/>
    </row>
    <row r="16" spans="1:3" ht="178.5" customHeight="1" outlineLevel="1">
      <c r="A16" s="210"/>
      <c r="B16" s="82">
        <v>1</v>
      </c>
      <c r="C16" t="s" s="226">
        <v>1976</v>
      </c>
    </row>
    <row r="17" spans="1:3" ht="86.25" customHeight="1" outlineLevel="1">
      <c r="A17" s="210"/>
      <c r="B17" s="87">
        <v>2</v>
      </c>
      <c r="C17" t="s" s="217">
        <v>215</v>
      </c>
    </row>
    <row r="18" spans="1:3" ht="15" customHeight="1" outlineLevel="1">
      <c r="A18" s="210"/>
      <c r="B18" s="336"/>
      <c r="C18" s="78"/>
    </row>
    <row r="19" spans="1:3" ht="33" outlineLevel="1">
      <c r="A19" s="210"/>
      <c r="B19" s="337"/>
      <c r="C19" t="s" s="112">
        <v>1977</v>
      </c>
    </row>
    <row r="20" spans="1:3" ht="33" customHeight="1" outlineLevel="1">
      <c r="A20" s="210"/>
      <c r="B20" s="82">
        <v>4</v>
      </c>
      <c r="C20" t="s" s="226">
        <v>546</v>
      </c>
    </row>
    <row r="21" spans="1:3" ht="61" outlineLevel="1">
      <c r="B21" s="82">
        <v>5</v>
      </c>
      <c r="C21" t="s" s="226">
        <v>1546</v>
      </c>
    </row>
    <row r="22" spans="1:3" ht="18.75" customHeight="1">
      <c r="C22" s="41"/>
    </row>
    <row r="23" spans="1:3" ht="18.75" customHeight="1">
      <c r="A23" t="s" s="210">
        <v>1643</v>
      </c>
      <c r="B23" s="60"/>
      <c r="C23" s="41"/>
    </row>
    <row r="24" spans="1:3" ht="18.75" customHeight="1" outlineLevel="1">
      <c r="A24" s="210"/>
      <c r="B24" t="s" s="60">
        <v>898</v>
      </c>
      <c r="C24" s="41"/>
    </row>
    <row r="25" spans="1:3" ht="48" customHeight="1" outlineLevel="2">
      <c r="A25" s="210"/>
      <c r="B25" s="128">
        <v>1</v>
      </c>
      <c r="C25" t="s" s="226">
        <v>93</v>
      </c>
    </row>
    <row r="26" spans="1:3" ht="48" customHeight="1" outlineLevel="2">
      <c r="A26" s="210"/>
      <c r="B26" s="128">
        <v>2</v>
      </c>
      <c r="C26" t="s" s="226">
        <v>1346</v>
      </c>
    </row>
    <row r="27" spans="1:3" ht="18.75" customHeight="1" outlineLevel="2">
      <c r="A27" s="227"/>
      <c r="B27" s="128">
        <v>3</v>
      </c>
      <c r="C27" t="s" s="226">
        <v>870</v>
      </c>
    </row>
    <row r="28" spans="1:3" ht="18" customHeight="1" outlineLevel="2">
      <c r="A28" s="227"/>
      <c r="B28" s="128">
        <v>4</v>
      </c>
      <c r="C28" t="s" s="226">
        <v>141</v>
      </c>
    </row>
    <row r="29" spans="1:3" ht="42" customHeight="1" outlineLevel="2">
      <c r="A29" s="227"/>
      <c r="B29" s="128">
        <v>5</v>
      </c>
      <c r="C29" t="s" s="226">
        <v>170</v>
      </c>
    </row>
    <row r="30" spans="1:3" ht="18" customHeight="1" outlineLevel="2">
      <c r="A30" s="227"/>
      <c r="B30" s="128">
        <v>6</v>
      </c>
      <c r="C30" t="s" s="226">
        <v>968</v>
      </c>
    </row>
    <row r="31" spans="1:3" ht="21" customHeight="1" outlineLevel="2">
      <c r="A31" s="227"/>
      <c r="B31" s="128">
        <v>7</v>
      </c>
      <c r="C31" t="s" s="226">
        <v>818</v>
      </c>
    </row>
    <row r="32" spans="1:3" ht="36.75" customHeight="1" outlineLevel="2">
      <c r="B32" s="128">
        <v>8</v>
      </c>
      <c r="C32" t="s" s="226">
        <v>379</v>
      </c>
    </row>
    <row r="33" spans="2:3" ht="92.25" customHeight="1" outlineLevel="2">
      <c r="B33" s="128">
        <v>9</v>
      </c>
      <c r="C33" t="s" s="214">
        <v>1283</v>
      </c>
    </row>
    <row r="34" spans="2:3" ht="36" customHeight="1" outlineLevel="2"/>
    <row r="35" spans="2:3" ht="21" customHeight="1" outlineLevel="1">
      <c r="B35" t="s" s="60">
        <v>1419</v>
      </c>
      <c r="C35" s="109"/>
    </row>
    <row r="36" spans="2:3" ht="24.75" customHeight="1" outlineLevel="2">
      <c r="B36" s="57"/>
      <c r="C36" t="s" s="52">
        <v>516</v>
      </c>
    </row>
    <row r="37" spans="2:3" ht="17" outlineLevel="2">
      <c r="B37" s="33">
        <v>1</v>
      </c>
      <c r="C37" t="s" s="24">
        <v>166</v>
      </c>
    </row>
    <row r="38" spans="2:3" ht="17" outlineLevel="2">
      <c r="B38" s="33"/>
      <c r="C38" t="s" s="24">
        <v>786</v>
      </c>
    </row>
    <row r="39" spans="2:3" ht="17" outlineLevel="2">
      <c r="B39" s="33"/>
      <c r="C39" t="s" s="24">
        <v>1230</v>
      </c>
    </row>
    <row r="40" spans="2:3" ht="34" outlineLevel="2">
      <c r="B40" s="37"/>
      <c r="C40" t="s" s="16">
        <v>1001</v>
      </c>
    </row>
    <row r="41" spans="2:3" ht="17" outlineLevel="2">
      <c r="B41" s="34">
        <v>2</v>
      </c>
      <c r="C41" t="s" s="83">
        <v>48</v>
      </c>
    </row>
    <row r="42" spans="2:3" ht="255" outlineLevel="2">
      <c r="B42" s="34">
        <v>3</v>
      </c>
      <c r="C42" t="s" s="88">
        <v>1056</v>
      </c>
    </row>
    <row r="43" spans="2:3" ht="102" outlineLevel="2">
      <c r="B43" s="34">
        <v>4</v>
      </c>
      <c r="C43" t="s" s="88">
        <v>222</v>
      </c>
    </row>
    <row r="44" spans="2:3" ht="34" outlineLevel="2">
      <c r="B44" s="82">
        <v>5</v>
      </c>
      <c r="C44" t="s" s="83">
        <v>105</v>
      </c>
    </row>
    <row r="45" spans="2:3" ht="34" outlineLevel="1">
      <c r="B45" s="82">
        <v>6</v>
      </c>
      <c r="C45" t="s" s="83">
        <v>1642</v>
      </c>
    </row>
  </sheetData>
  <mergeCells count="1">
    <mergeCell ref="B18:B19"/>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sheetViews>
    <sheetView zoomScaleNormal="100" zoomScaleSheetLayoutView="100" workbookViewId="0">
      <selection activeCell="L19" sqref="L19"/>
    </sheetView>
  </sheetViews>
  <sheetFormatPr baseColWidth="10" defaultColWidth="8.83203125" defaultRowHeight="1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imitedQTY" filterMode="1">
    <tabColor rgb="FFFFC000"/>
  </sheetPr>
  <sheetViews>
    <sheetView zoomScaleNormal="100" zoomScaleSheetLayoutView="100" workbookViewId="0">
      <selection activeCell="E25" sqref="E25"/>
    </sheetView>
  </sheetViews>
  <sheetFormatPr baseColWidth="10" defaultColWidth="9.1640625" defaultRowHeight="15"/>
  <cols>
    <col min="2" max="2" width="17" customWidth="1"/>
    <col min="3" max="4" width="11.83203125" customWidth="1"/>
    <col min="5" max="5" width="116.83203125" customWidth="1"/>
    <col min="6" max="6" width="5.1640625" customWidth="1"/>
    <col min="7" max="7" width="5.5" customWidth="1"/>
    <col min="8" max="8" width="10.33203125" customWidth="1"/>
    <col min="9" max="9" width="6.33203125" customWidth="1"/>
    <col min="11" max="11" width="15.83203125" customWidth="1"/>
  </cols>
  <sheetData>
    <row r="1" spans="1:11">
      <c r="A1" t="s" s="152">
        <v>1413</v>
      </c>
      <c r="B1" t="s" s="152">
        <v>686</v>
      </c>
      <c r="C1" t="s" s="152">
        <v>1159</v>
      </c>
      <c r="D1" t="s" s="152">
        <v>1535</v>
      </c>
      <c r="E1" t="s" s="28">
        <v>1202</v>
      </c>
      <c r="F1" t="s" s="152">
        <v>139</v>
      </c>
      <c r="G1" t="s" s="152">
        <v>115</v>
      </c>
      <c r="H1" t="s" s="152">
        <v>1753</v>
      </c>
      <c r="I1" t="s" s="81">
        <v>1269</v>
      </c>
      <c r="J1" t="s" s="81">
        <v>399</v>
      </c>
      <c r="K1" t="s" s="81">
        <v>668</v>
      </c>
    </row>
    <row r="2" spans="1:11">
      <c r="A2" t="s">
        <v>1496</v>
      </c>
      <c r="B2" t="s">
        <v>878</v>
      </c>
      <c r="E2" t="s">
        <v>893</v>
      </c>
      <c r="F2">
        <v>1959</v>
      </c>
      <c r="G2" t="s">
        <v>370</v>
      </c>
      <c r="H2">
        <v>0.125</v>
      </c>
    </row>
    <row r="3" spans="1:11">
      <c r="A3" t="s">
        <v>943</v>
      </c>
      <c r="B3" t="s">
        <v>878</v>
      </c>
      <c r="E3" t="s">
        <v>800</v>
      </c>
      <c r="F3">
        <v>1030</v>
      </c>
      <c r="G3" t="s">
        <v>370</v>
      </c>
      <c r="H3">
        <v>0.125</v>
      </c>
    </row>
    <row r="4" spans="1:11">
      <c r="A4" t="s">
        <v>1496</v>
      </c>
      <c r="B4" t="s">
        <v>878</v>
      </c>
      <c r="E4" t="s">
        <v>1250</v>
      </c>
      <c r="F4">
        <v>3159</v>
      </c>
      <c r="G4" t="s">
        <v>370</v>
      </c>
      <c r="H4">
        <v>0.125</v>
      </c>
    </row>
    <row r="5" spans="1:11">
      <c r="A5" t="s">
        <v>943</v>
      </c>
      <c r="B5" t="s">
        <v>878</v>
      </c>
      <c r="E5" t="s">
        <v>256</v>
      </c>
      <c r="F5">
        <v>2035</v>
      </c>
      <c r="G5" t="s">
        <v>370</v>
      </c>
      <c r="H5">
        <v>0.125</v>
      </c>
    </row>
    <row r="6" spans="1:11">
      <c r="A6" t="s">
        <v>1496</v>
      </c>
      <c r="B6" t="s">
        <v>878</v>
      </c>
      <c r="E6" t="s">
        <v>27</v>
      </c>
      <c r="F6">
        <v>1958</v>
      </c>
      <c r="G6" t="s">
        <v>370</v>
      </c>
      <c r="H6">
        <v>0.125</v>
      </c>
    </row>
    <row r="7" spans="1:11">
      <c r="A7" t="s">
        <v>1496</v>
      </c>
      <c r="B7" t="s">
        <v>878</v>
      </c>
      <c r="E7" t="s">
        <v>157</v>
      </c>
      <c r="F7">
        <v>2517</v>
      </c>
      <c r="G7" t="s">
        <v>370</v>
      </c>
      <c r="H7">
        <v>0.125</v>
      </c>
    </row>
    <row r="8" spans="1:11">
      <c r="A8" t="s">
        <v>943</v>
      </c>
      <c r="B8" t="s">
        <v>878</v>
      </c>
      <c r="E8" t="s">
        <v>1033</v>
      </c>
      <c r="F8">
        <v>1021</v>
      </c>
      <c r="G8" t="s">
        <v>370</v>
      </c>
      <c r="H8">
        <v>0.125</v>
      </c>
    </row>
    <row r="9" spans="1:11">
      <c r="A9" t="s">
        <v>943</v>
      </c>
      <c r="B9" t="s">
        <v>878</v>
      </c>
      <c r="E9" t="s">
        <v>217</v>
      </c>
      <c r="F9">
        <v>1983</v>
      </c>
      <c r="G9" t="s">
        <v>370</v>
      </c>
      <c r="H9">
        <v>0.125</v>
      </c>
    </row>
    <row r="10" spans="1:11">
      <c r="A10" t="s">
        <v>1461</v>
      </c>
      <c r="B10" t="s">
        <v>791</v>
      </c>
      <c r="E10" t="s">
        <v>1818</v>
      </c>
      <c r="F10">
        <v>1133</v>
      </c>
      <c r="G10" t="s">
        <v>370</v>
      </c>
      <c r="H10">
        <v>5</v>
      </c>
    </row>
    <row r="11" spans="1:11">
      <c r="A11" t="s">
        <v>925</v>
      </c>
      <c r="B11" t="s">
        <v>791</v>
      </c>
      <c r="E11" t="s">
        <v>1108</v>
      </c>
      <c r="F11">
        <v>1950</v>
      </c>
      <c r="G11" t="s">
        <v>370</v>
      </c>
    </row>
    <row r="12" spans="1:11">
      <c r="A12" t="s">
        <v>925</v>
      </c>
      <c r="B12" t="s">
        <v>363</v>
      </c>
      <c r="E12" t="s">
        <v>301</v>
      </c>
      <c r="F12">
        <v>1950</v>
      </c>
      <c r="G12" t="s">
        <v>370</v>
      </c>
    </row>
    <row r="13" spans="1:11">
      <c r="A13" t="s">
        <v>1461</v>
      </c>
      <c r="B13" t="s">
        <v>791</v>
      </c>
      <c r="C13" t="s">
        <v>1806</v>
      </c>
      <c r="E13" t="s">
        <v>753</v>
      </c>
      <c r="F13">
        <v>1986</v>
      </c>
      <c r="G13" t="s">
        <v>370</v>
      </c>
      <c r="H13">
        <v>5</v>
      </c>
    </row>
    <row r="14" spans="1:11">
      <c r="A14" t="s">
        <v>1461</v>
      </c>
      <c r="B14" t="s">
        <v>791</v>
      </c>
      <c r="E14" t="s">
        <v>1438</v>
      </c>
      <c r="F14">
        <v>1987</v>
      </c>
      <c r="G14" t="s">
        <v>370</v>
      </c>
      <c r="H14">
        <v>5</v>
      </c>
    </row>
    <row r="15" spans="1:11">
      <c r="A15" t="s">
        <v>1461</v>
      </c>
      <c r="B15" t="s">
        <v>791</v>
      </c>
      <c r="C15" t="s">
        <v>1806</v>
      </c>
      <c r="E15" t="s">
        <v>1671</v>
      </c>
      <c r="F15">
        <v>1988</v>
      </c>
      <c r="G15" t="s">
        <v>370</v>
      </c>
      <c r="H15">
        <v>5</v>
      </c>
    </row>
    <row r="16" spans="1:11">
      <c r="A16" t="s">
        <v>1461</v>
      </c>
      <c r="B16" t="s">
        <v>791</v>
      </c>
      <c r="E16" t="s">
        <v>1119</v>
      </c>
      <c r="F16">
        <v>2937</v>
      </c>
      <c r="G16" t="s">
        <v>370</v>
      </c>
      <c r="H16">
        <v>5</v>
      </c>
    </row>
    <row r="17" spans="1:8">
      <c r="A17" t="s">
        <v>1461</v>
      </c>
      <c r="B17" t="s">
        <v>791</v>
      </c>
      <c r="C17" t="s">
        <v>1024</v>
      </c>
      <c r="E17" t="s">
        <v>1123</v>
      </c>
      <c r="F17">
        <v>2733</v>
      </c>
      <c r="G17" t="s">
        <v>370</v>
      </c>
      <c r="H17">
        <v>5</v>
      </c>
    </row>
    <row r="18" spans="1:8">
      <c r="A18" t="s">
        <v>1496</v>
      </c>
      <c r="B18" t="s">
        <v>1333</v>
      </c>
      <c r="E18" t="s">
        <v>402</v>
      </c>
      <c r="F18">
        <v>1951</v>
      </c>
      <c r="G18" t="s">
        <v>370</v>
      </c>
      <c r="H18">
        <v>0.125</v>
      </c>
    </row>
    <row r="19" spans="1:8">
      <c r="A19" t="s">
        <v>1461</v>
      </c>
      <c r="B19" t="s">
        <v>791</v>
      </c>
      <c r="C19" t="s">
        <v>1806</v>
      </c>
      <c r="E19" t="s">
        <v>1554</v>
      </c>
      <c r="F19">
        <v>2760</v>
      </c>
      <c r="G19" t="s">
        <v>370</v>
      </c>
      <c r="H19">
        <v>1</v>
      </c>
    </row>
    <row r="20" spans="1:8">
      <c r="A20" t="s">
        <v>1496</v>
      </c>
      <c r="B20" t="s">
        <v>1333</v>
      </c>
      <c r="E20" t="s">
        <v>1132</v>
      </c>
      <c r="F20">
        <v>3164</v>
      </c>
      <c r="G20" t="s">
        <v>370</v>
      </c>
      <c r="H20">
        <v>0.125</v>
      </c>
    </row>
    <row r="21" spans="1:8">
      <c r="A21" t="s">
        <v>1461</v>
      </c>
      <c r="B21" t="s">
        <v>791</v>
      </c>
      <c r="C21" t="s">
        <v>1806</v>
      </c>
      <c r="E21" t="s">
        <v>613</v>
      </c>
      <c r="F21">
        <v>2782</v>
      </c>
      <c r="G21" t="s">
        <v>370</v>
      </c>
      <c r="H21">
        <v>1</v>
      </c>
    </row>
    <row r="22" spans="1:8">
      <c r="A22" t="s">
        <v>943</v>
      </c>
      <c r="B22" t="s">
        <v>878</v>
      </c>
      <c r="E22" t="s">
        <v>1193</v>
      </c>
      <c r="F22">
        <v>1009</v>
      </c>
      <c r="G22" t="s">
        <v>370</v>
      </c>
      <c r="H22">
        <v>0.125</v>
      </c>
    </row>
    <row r="23" spans="1:8">
      <c r="A23" t="s">
        <v>1461</v>
      </c>
      <c r="B23" t="s">
        <v>791</v>
      </c>
      <c r="C23" t="s">
        <v>1806</v>
      </c>
      <c r="E23" t="s">
        <v>679</v>
      </c>
      <c r="F23">
        <v>2758</v>
      </c>
      <c r="G23" t="s">
        <v>370</v>
      </c>
      <c r="H23">
        <v>1</v>
      </c>
    </row>
    <row r="24" spans="1:8">
      <c r="A24" t="s">
        <v>1496</v>
      </c>
      <c r="B24" t="s">
        <v>1333</v>
      </c>
      <c r="E24" t="s">
        <v>1562</v>
      </c>
      <c r="F24">
        <v>1013</v>
      </c>
      <c r="G24" t="s">
        <v>370</v>
      </c>
      <c r="H24">
        <v>0.125</v>
      </c>
    </row>
    <row r="25" spans="1:8">
      <c r="A25" t="s">
        <v>1496</v>
      </c>
      <c r="B25" t="s">
        <v>1333</v>
      </c>
      <c r="E25" t="s">
        <v>793</v>
      </c>
      <c r="F25">
        <v>2187</v>
      </c>
      <c r="G25" t="s">
        <v>370</v>
      </c>
      <c r="H25">
        <v>0.125</v>
      </c>
    </row>
    <row r="26" spans="1:8">
      <c r="A26" t="s">
        <v>943</v>
      </c>
      <c r="B26" t="s">
        <v>878</v>
      </c>
      <c r="E26" t="s">
        <v>1289</v>
      </c>
      <c r="F26">
        <v>1974</v>
      </c>
      <c r="G26" t="s">
        <v>370</v>
      </c>
      <c r="H26">
        <v>0.125</v>
      </c>
    </row>
    <row r="27" spans="1:8">
      <c r="A27" t="s">
        <v>943</v>
      </c>
      <c r="B27" t="s">
        <v>878</v>
      </c>
      <c r="E27" t="s">
        <v>1739</v>
      </c>
      <c r="F27">
        <v>1018</v>
      </c>
      <c r="G27" t="s">
        <v>370</v>
      </c>
      <c r="H27">
        <v>0.125</v>
      </c>
    </row>
    <row r="28" spans="1:8">
      <c r="A28" t="s">
        <v>943</v>
      </c>
      <c r="B28" t="s">
        <v>878</v>
      </c>
      <c r="E28" t="s">
        <v>1784</v>
      </c>
      <c r="F28">
        <v>1973</v>
      </c>
      <c r="G28" t="s">
        <v>370</v>
      </c>
      <c r="H28">
        <v>0.125</v>
      </c>
    </row>
    <row r="29" spans="1:8">
      <c r="A29" t="s">
        <v>943</v>
      </c>
      <c r="B29" t="s">
        <v>878</v>
      </c>
      <c r="E29" t="s">
        <v>882</v>
      </c>
      <c r="F29">
        <v>1020</v>
      </c>
      <c r="G29" t="s">
        <v>370</v>
      </c>
      <c r="H29">
        <v>0.125</v>
      </c>
    </row>
    <row r="30" spans="1:8">
      <c r="A30" t="s">
        <v>943</v>
      </c>
      <c r="B30" t="s">
        <v>878</v>
      </c>
      <c r="E30" t="s">
        <v>727</v>
      </c>
      <c r="F30">
        <v>1022</v>
      </c>
      <c r="G30" t="s">
        <v>370</v>
      </c>
      <c r="H30">
        <v>0.125</v>
      </c>
    </row>
    <row r="31" spans="1:8">
      <c r="A31" t="s">
        <v>1496</v>
      </c>
      <c r="B31" t="s">
        <v>878</v>
      </c>
      <c r="E31" t="s">
        <v>1518</v>
      </c>
      <c r="F31">
        <v>2599</v>
      </c>
      <c r="G31" t="s">
        <v>370</v>
      </c>
      <c r="H31">
        <v>0.125</v>
      </c>
    </row>
    <row r="32" spans="1:8">
      <c r="A32" t="s">
        <v>1496</v>
      </c>
      <c r="B32" t="s">
        <v>791</v>
      </c>
      <c r="E32" t="s">
        <v>1255</v>
      </c>
      <c r="F32">
        <v>1954</v>
      </c>
      <c r="G32" t="s">
        <v>370</v>
      </c>
      <c r="H32">
        <v>0.125</v>
      </c>
    </row>
    <row r="33" spans="1:8">
      <c r="A33" t="s">
        <v>1496</v>
      </c>
      <c r="B33" t="s">
        <v>1333</v>
      </c>
      <c r="E33" t="s">
        <v>1079</v>
      </c>
      <c r="F33">
        <v>1956</v>
      </c>
      <c r="G33" t="s">
        <v>370</v>
      </c>
      <c r="H33">
        <v>0.125</v>
      </c>
    </row>
    <row r="34" spans="1:8">
      <c r="A34" t="s">
        <v>943</v>
      </c>
      <c r="B34" t="s">
        <v>791</v>
      </c>
      <c r="C34" t="s">
        <v>1806</v>
      </c>
      <c r="E34" t="s">
        <v>489</v>
      </c>
      <c r="F34">
        <v>1953</v>
      </c>
      <c r="G34" t="s">
        <v>370</v>
      </c>
      <c r="H34">
        <v>0.125</v>
      </c>
    </row>
    <row r="35" spans="1:8">
      <c r="A35" t="s">
        <v>1461</v>
      </c>
      <c r="B35" t="s">
        <v>791</v>
      </c>
      <c r="C35" t="s">
        <v>1806</v>
      </c>
      <c r="E35" t="s">
        <v>733</v>
      </c>
      <c r="F35">
        <v>2776</v>
      </c>
      <c r="G35" t="s">
        <v>370</v>
      </c>
      <c r="H35">
        <v>1</v>
      </c>
    </row>
    <row r="36" spans="1:8">
      <c r="A36" t="s">
        <v>1461</v>
      </c>
      <c r="B36" t="s">
        <v>1024</v>
      </c>
      <c r="E36" t="s">
        <v>954</v>
      </c>
      <c r="F36">
        <v>1760</v>
      </c>
      <c r="G36" t="s">
        <v>370</v>
      </c>
      <c r="H36">
        <v>5</v>
      </c>
    </row>
    <row r="37" spans="1:8">
      <c r="A37" t="s">
        <v>1461</v>
      </c>
      <c r="B37" t="s">
        <v>1024</v>
      </c>
      <c r="C37" t="s">
        <v>1806</v>
      </c>
      <c r="E37" t="s">
        <v>1820</v>
      </c>
      <c r="F37">
        <v>2922</v>
      </c>
      <c r="G37" t="s">
        <v>370</v>
      </c>
      <c r="H37">
        <v>5</v>
      </c>
    </row>
    <row r="38" spans="1:8">
      <c r="A38" t="s">
        <v>1461</v>
      </c>
      <c r="B38" t="s">
        <v>791</v>
      </c>
      <c r="E38" t="s">
        <v>1672</v>
      </c>
      <c r="F38">
        <v>2920</v>
      </c>
      <c r="G38" t="s">
        <v>370</v>
      </c>
      <c r="H38">
        <v>1</v>
      </c>
    </row>
    <row r="39" spans="1:8">
      <c r="A39" t="s">
        <v>1496</v>
      </c>
      <c r="B39" t="s">
        <v>1333</v>
      </c>
      <c r="E39" t="s">
        <v>570</v>
      </c>
      <c r="F39">
        <v>3150</v>
      </c>
      <c r="G39" t="s">
        <v>370</v>
      </c>
      <c r="H39">
        <v>0.125</v>
      </c>
    </row>
    <row r="40" spans="1:8">
      <c r="A40" t="s">
        <v>1461</v>
      </c>
      <c r="B40" t="s">
        <v>791</v>
      </c>
      <c r="E40" t="s">
        <v>889</v>
      </c>
      <c r="F40">
        <v>1148</v>
      </c>
      <c r="G40" t="s">
        <v>370</v>
      </c>
      <c r="H40">
        <v>5</v>
      </c>
    </row>
    <row r="41" spans="1:8">
      <c r="A41" t="s">
        <v>943</v>
      </c>
      <c r="B41" t="s">
        <v>878</v>
      </c>
      <c r="E41" t="s">
        <v>1647</v>
      </c>
      <c r="F41">
        <v>1028</v>
      </c>
      <c r="G41" t="s">
        <v>370</v>
      </c>
      <c r="H41">
        <v>0.125</v>
      </c>
    </row>
    <row r="42" spans="1:8">
      <c r="A42" t="s">
        <v>1496</v>
      </c>
      <c r="B42" t="s">
        <v>878</v>
      </c>
      <c r="E42" t="s">
        <v>1038</v>
      </c>
      <c r="F42">
        <v>2602</v>
      </c>
      <c r="G42" t="s">
        <v>370</v>
      </c>
      <c r="H42">
        <v>0.125</v>
      </c>
    </row>
    <row r="43" spans="1:8">
      <c r="A43" t="s">
        <v>943</v>
      </c>
      <c r="B43" t="s">
        <v>878</v>
      </c>
      <c r="E43" t="s">
        <v>382</v>
      </c>
      <c r="F43">
        <v>1029</v>
      </c>
      <c r="G43" t="s">
        <v>370</v>
      </c>
      <c r="H43">
        <v>0.125</v>
      </c>
    </row>
    <row r="44" spans="1:8">
      <c r="A44" t="s">
        <v>1496</v>
      </c>
      <c r="B44" t="s">
        <v>878</v>
      </c>
      <c r="E44" t="s">
        <v>1028</v>
      </c>
      <c r="F44">
        <v>3252</v>
      </c>
      <c r="G44" t="s">
        <v>370</v>
      </c>
      <c r="H44">
        <v>0.125</v>
      </c>
    </row>
    <row r="45" spans="1:8">
      <c r="A45" t="s">
        <v>1461</v>
      </c>
      <c r="B45" t="s">
        <v>1024</v>
      </c>
      <c r="E45" t="s">
        <v>851</v>
      </c>
      <c r="F45">
        <v>1903</v>
      </c>
      <c r="G45" t="s">
        <v>370</v>
      </c>
      <c r="H45">
        <v>5</v>
      </c>
    </row>
    <row r="46" spans="1:8">
      <c r="A46" t="s">
        <v>1461</v>
      </c>
      <c r="B46" t="s">
        <v>1806</v>
      </c>
      <c r="E46" t="s">
        <v>42</v>
      </c>
      <c r="F46">
        <v>1602</v>
      </c>
      <c r="G46" t="s">
        <v>370</v>
      </c>
      <c r="H46">
        <v>5</v>
      </c>
    </row>
    <row r="47" spans="1:8">
      <c r="A47" t="s">
        <v>1461</v>
      </c>
      <c r="B47" t="s">
        <v>1024</v>
      </c>
      <c r="E47" t="s">
        <v>560</v>
      </c>
      <c r="F47">
        <v>2801</v>
      </c>
      <c r="G47" t="s">
        <v>370</v>
      </c>
      <c r="H47">
        <v>5</v>
      </c>
    </row>
    <row r="48" spans="1:8">
      <c r="A48" t="s">
        <v>1496</v>
      </c>
      <c r="B48" t="s">
        <v>791</v>
      </c>
      <c r="E48" t="s">
        <v>1363</v>
      </c>
      <c r="F48">
        <v>1961</v>
      </c>
      <c r="G48" t="s">
        <v>370</v>
      </c>
      <c r="H48">
        <v>0.125</v>
      </c>
    </row>
    <row r="49" spans="1:8">
      <c r="A49" t="s">
        <v>1461</v>
      </c>
      <c r="B49" t="s">
        <v>791</v>
      </c>
      <c r="E49" t="s">
        <v>1843</v>
      </c>
      <c r="F49">
        <v>1170</v>
      </c>
      <c r="G49" t="s">
        <v>370</v>
      </c>
      <c r="H49">
        <v>5</v>
      </c>
    </row>
    <row r="50" spans="1:8">
      <c r="A50" t="s">
        <v>943</v>
      </c>
      <c r="B50" t="s">
        <v>878</v>
      </c>
      <c r="E50" t="s">
        <v>1083</v>
      </c>
      <c r="F50">
        <v>2453</v>
      </c>
      <c r="G50" t="s">
        <v>370</v>
      </c>
      <c r="H50">
        <v>0.125</v>
      </c>
    </row>
    <row r="51" spans="1:8">
      <c r="A51" t="s">
        <v>1461</v>
      </c>
      <c r="B51" t="s">
        <v>791</v>
      </c>
      <c r="E51" t="s">
        <v>187</v>
      </c>
      <c r="F51">
        <v>1169</v>
      </c>
      <c r="G51" t="s">
        <v>370</v>
      </c>
      <c r="H51">
        <v>5</v>
      </c>
    </row>
    <row r="52" spans="1:8">
      <c r="A52" t="s">
        <v>1633</v>
      </c>
      <c r="B52" t="s">
        <v>791</v>
      </c>
      <c r="E52" t="s">
        <v>572</v>
      </c>
      <c r="F52">
        <v>1197</v>
      </c>
      <c r="G52" t="s">
        <v>370</v>
      </c>
      <c r="H52">
        <v>5</v>
      </c>
    </row>
    <row r="53" spans="1:8">
      <c r="A53" t="s">
        <v>1461</v>
      </c>
      <c r="B53" t="s">
        <v>1024</v>
      </c>
      <c r="E53" t="s">
        <v>784</v>
      </c>
      <c r="F53">
        <v>1774</v>
      </c>
      <c r="G53" t="s">
        <v>370</v>
      </c>
      <c r="H53">
        <v>1</v>
      </c>
    </row>
    <row r="54" spans="1:8">
      <c r="A54" t="s">
        <v>943</v>
      </c>
      <c r="B54" t="s">
        <v>1333</v>
      </c>
      <c r="E54" t="s">
        <v>1099</v>
      </c>
      <c r="F54">
        <v>1044</v>
      </c>
      <c r="G54" t="s">
        <v>370</v>
      </c>
      <c r="H54">
        <v>0.125</v>
      </c>
    </row>
    <row r="55" spans="1:8" hidden="1">
      <c r="A55" t="s">
        <v>204</v>
      </c>
      <c r="B55" t="s">
        <v>791</v>
      </c>
      <c r="E55" t="s">
        <v>645</v>
      </c>
      <c r="F55">
        <v>2623</v>
      </c>
      <c r="G55" t="s">
        <v>76</v>
      </c>
      <c r="H55">
        <v>5</v>
      </c>
    </row>
    <row r="56" spans="1:8">
      <c r="A56" t="s">
        <v>1461</v>
      </c>
      <c r="B56" t="s">
        <v>791</v>
      </c>
      <c r="E56" t="s">
        <v>282</v>
      </c>
      <c r="F56">
        <v>1993</v>
      </c>
      <c r="G56" t="s">
        <v>370</v>
      </c>
      <c r="H56">
        <v>5</v>
      </c>
    </row>
    <row r="57" spans="1:8">
      <c r="A57" t="s">
        <v>1461</v>
      </c>
      <c r="B57" t="s">
        <v>791</v>
      </c>
      <c r="C57" t="s">
        <v>1806</v>
      </c>
      <c r="E57" t="s">
        <v>973</v>
      </c>
      <c r="F57">
        <v>1992</v>
      </c>
      <c r="G57" t="s">
        <v>370</v>
      </c>
      <c r="H57">
        <v>5</v>
      </c>
    </row>
    <row r="58" spans="1:8" hidden="1">
      <c r="A58" t="s">
        <v>204</v>
      </c>
      <c r="B58" t="s">
        <v>791</v>
      </c>
      <c r="C58" t="s">
        <v>1024</v>
      </c>
      <c r="E58" t="s">
        <v>1381</v>
      </c>
      <c r="F58">
        <v>3180</v>
      </c>
      <c r="G58" t="s">
        <v>76</v>
      </c>
      <c r="H58">
        <v>5</v>
      </c>
    </row>
    <row r="59" spans="1:8" hidden="1">
      <c r="A59" t="s">
        <v>204</v>
      </c>
      <c r="B59" t="s">
        <v>791</v>
      </c>
      <c r="C59" t="s">
        <v>1806</v>
      </c>
      <c r="E59" t="s">
        <v>1027</v>
      </c>
      <c r="F59">
        <v>3179</v>
      </c>
      <c r="G59" t="s">
        <v>76</v>
      </c>
      <c r="H59">
        <v>5</v>
      </c>
    </row>
    <row r="60" spans="1:8" hidden="1">
      <c r="A60" t="s">
        <v>204</v>
      </c>
      <c r="B60" t="s">
        <v>791</v>
      </c>
      <c r="C60" t="s">
        <v>1024</v>
      </c>
      <c r="E60" t="s">
        <v>1163</v>
      </c>
      <c r="F60">
        <v>2925</v>
      </c>
      <c r="G60" t="s">
        <v>76</v>
      </c>
    </row>
    <row r="61" spans="1:8" hidden="1">
      <c r="A61" t="s">
        <v>204</v>
      </c>
      <c r="B61" t="s">
        <v>791</v>
      </c>
      <c r="E61" t="s">
        <v>1181</v>
      </c>
      <c r="F61">
        <v>1325</v>
      </c>
      <c r="G61" t="s">
        <v>76</v>
      </c>
      <c r="H61">
        <v>5</v>
      </c>
    </row>
    <row r="62" spans="1:8" hidden="1">
      <c r="A62" t="s">
        <v>204</v>
      </c>
      <c r="B62" t="s">
        <v>791</v>
      </c>
      <c r="C62" t="s">
        <v>1806</v>
      </c>
      <c r="E62" t="s">
        <v>393</v>
      </c>
      <c r="F62">
        <v>2926</v>
      </c>
      <c r="G62" t="s">
        <v>76</v>
      </c>
      <c r="H62">
        <v>5</v>
      </c>
    </row>
    <row r="63" spans="1:8">
      <c r="A63" t="s">
        <v>1461</v>
      </c>
      <c r="B63" t="s">
        <v>791</v>
      </c>
      <c r="C63" t="s">
        <v>1024</v>
      </c>
      <c r="E63" t="s">
        <v>884</v>
      </c>
      <c r="F63">
        <v>2924</v>
      </c>
      <c r="G63" t="s">
        <v>370</v>
      </c>
      <c r="H63">
        <v>5</v>
      </c>
    </row>
    <row r="64" spans="1:8">
      <c r="A64" t="s">
        <v>1461</v>
      </c>
      <c r="B64" t="s">
        <v>791</v>
      </c>
      <c r="C64" t="s">
        <v>1806</v>
      </c>
      <c r="E64" t="s">
        <v>1039</v>
      </c>
      <c r="G64" t="s">
        <v>370</v>
      </c>
    </row>
    <row r="65" spans="1:8">
      <c r="A65" t="s">
        <v>1461</v>
      </c>
      <c r="B65" t="s">
        <v>791</v>
      </c>
      <c r="E65" t="s">
        <v>1607</v>
      </c>
      <c r="F65">
        <v>2874</v>
      </c>
      <c r="G65" t="s">
        <v>370</v>
      </c>
      <c r="H65">
        <v>5</v>
      </c>
    </row>
    <row r="66" spans="1:8">
      <c r="A66" t="s">
        <v>943</v>
      </c>
      <c r="B66" t="s">
        <v>1333</v>
      </c>
      <c r="E66" t="s">
        <v>1478</v>
      </c>
      <c r="F66">
        <v>2037</v>
      </c>
      <c r="G66" t="s">
        <v>370</v>
      </c>
      <c r="H66">
        <v>0.125</v>
      </c>
    </row>
    <row r="67" spans="1:8">
      <c r="A67" t="s">
        <v>1496</v>
      </c>
      <c r="B67" t="s">
        <v>878</v>
      </c>
      <c r="E67" t="s">
        <v>96</v>
      </c>
      <c r="F67">
        <v>3158</v>
      </c>
      <c r="G67" t="s">
        <v>370</v>
      </c>
      <c r="H67">
        <v>0.125</v>
      </c>
    </row>
    <row r="68" spans="1:8">
      <c r="A68" t="s">
        <v>1496</v>
      </c>
      <c r="B68" t="s">
        <v>1333</v>
      </c>
      <c r="E68" t="s">
        <v>1330</v>
      </c>
      <c r="F68">
        <v>1963</v>
      </c>
      <c r="G68" t="s">
        <v>370</v>
      </c>
      <c r="H68">
        <v>0.125</v>
      </c>
    </row>
    <row r="69" spans="1:8">
      <c r="A69" t="s">
        <v>1496</v>
      </c>
      <c r="B69" t="s">
        <v>878</v>
      </c>
      <c r="E69" t="s">
        <v>515</v>
      </c>
      <c r="F69">
        <v>3296</v>
      </c>
      <c r="G69" t="s">
        <v>370</v>
      </c>
      <c r="H69">
        <v>0.125</v>
      </c>
    </row>
    <row r="70" spans="1:8">
      <c r="A70" t="s">
        <v>943</v>
      </c>
      <c r="B70" t="s">
        <v>878</v>
      </c>
      <c r="E70" t="s">
        <v>552</v>
      </c>
      <c r="F70">
        <v>2193</v>
      </c>
      <c r="G70" t="s">
        <v>370</v>
      </c>
      <c r="H70">
        <v>0.125</v>
      </c>
    </row>
    <row r="71" spans="1:8">
      <c r="A71" t="s">
        <v>1496</v>
      </c>
      <c r="B71" t="s">
        <v>878</v>
      </c>
      <c r="E71" t="s">
        <v>61</v>
      </c>
      <c r="F71">
        <v>1858</v>
      </c>
      <c r="G71" t="s">
        <v>370</v>
      </c>
      <c r="H71">
        <v>0.125</v>
      </c>
    </row>
    <row r="72" spans="1:8">
      <c r="A72" t="s">
        <v>943</v>
      </c>
      <c r="B72" t="s">
        <v>1333</v>
      </c>
      <c r="E72" t="s">
        <v>1310</v>
      </c>
      <c r="F72">
        <v>1964</v>
      </c>
      <c r="G72" t="s">
        <v>370</v>
      </c>
      <c r="H72">
        <v>0.125</v>
      </c>
    </row>
    <row r="73" spans="1:8">
      <c r="A73" t="s">
        <v>943</v>
      </c>
      <c r="B73" t="s">
        <v>1333</v>
      </c>
      <c r="E73" t="s">
        <v>482</v>
      </c>
      <c r="F73">
        <v>1965</v>
      </c>
      <c r="G73" t="s">
        <v>370</v>
      </c>
      <c r="H73">
        <v>0.125</v>
      </c>
    </row>
    <row r="74" spans="1:8">
      <c r="A74" t="s">
        <v>1461</v>
      </c>
      <c r="B74" t="s">
        <v>791</v>
      </c>
      <c r="E74" t="s">
        <v>1306</v>
      </c>
      <c r="F74">
        <v>1212</v>
      </c>
      <c r="G74" t="s">
        <v>370</v>
      </c>
      <c r="H74">
        <v>5</v>
      </c>
    </row>
    <row r="75" spans="1:8">
      <c r="A75" t="s">
        <v>1461</v>
      </c>
      <c r="B75" t="s">
        <v>791</v>
      </c>
      <c r="E75" t="s">
        <v>1054</v>
      </c>
      <c r="F75">
        <v>2478</v>
      </c>
      <c r="G75" t="s">
        <v>370</v>
      </c>
      <c r="H75">
        <v>5</v>
      </c>
    </row>
    <row r="76" spans="1:8">
      <c r="A76" t="s">
        <v>1461</v>
      </c>
      <c r="B76" t="s">
        <v>791</v>
      </c>
      <c r="E76" t="s">
        <v>1058</v>
      </c>
      <c r="F76">
        <v>1219</v>
      </c>
      <c r="G76" t="s">
        <v>370</v>
      </c>
      <c r="H76">
        <v>1</v>
      </c>
    </row>
    <row r="77" spans="1:8">
      <c r="A77" t="s">
        <v>1496</v>
      </c>
      <c r="B77" t="s">
        <v>1333</v>
      </c>
      <c r="E77" t="s">
        <v>1265</v>
      </c>
      <c r="F77">
        <v>1970</v>
      </c>
      <c r="G77" t="s">
        <v>370</v>
      </c>
      <c r="H77">
        <v>0.125</v>
      </c>
    </row>
    <row r="78" spans="1:8">
      <c r="A78" t="s">
        <v>943</v>
      </c>
      <c r="B78" t="s">
        <v>791</v>
      </c>
      <c r="E78" t="s">
        <v>152</v>
      </c>
      <c r="F78">
        <v>1057</v>
      </c>
      <c r="G78" t="s">
        <v>370</v>
      </c>
      <c r="H78">
        <v>0.125</v>
      </c>
    </row>
    <row r="79" spans="1:8">
      <c r="A79" t="s">
        <v>1496</v>
      </c>
      <c r="B79" t="s">
        <v>791</v>
      </c>
      <c r="E79" t="s">
        <v>1317</v>
      </c>
      <c r="F79">
        <v>3161</v>
      </c>
      <c r="G79" t="s">
        <v>370</v>
      </c>
      <c r="H79">
        <v>0.125</v>
      </c>
    </row>
    <row r="80" spans="1:8">
      <c r="A80" t="s">
        <v>1496</v>
      </c>
      <c r="B80" t="s">
        <v>1333</v>
      </c>
      <c r="E80" t="s">
        <v>1184</v>
      </c>
      <c r="F80">
        <v>3163</v>
      </c>
      <c r="G80" t="s">
        <v>370</v>
      </c>
      <c r="H80">
        <v>0.125</v>
      </c>
    </row>
    <row r="81" spans="1:8">
      <c r="A81" t="s">
        <v>943</v>
      </c>
      <c r="B81" t="s">
        <v>1333</v>
      </c>
      <c r="E81" t="s">
        <v>1057</v>
      </c>
      <c r="F81">
        <v>1058</v>
      </c>
      <c r="G81" t="s">
        <v>370</v>
      </c>
      <c r="H81">
        <v>0.125</v>
      </c>
    </row>
    <row r="82" spans="1:8">
      <c r="A82" t="s">
        <v>1496</v>
      </c>
      <c r="B82" t="s">
        <v>1333</v>
      </c>
      <c r="E82" t="s">
        <v>832</v>
      </c>
      <c r="F82">
        <v>1058</v>
      </c>
      <c r="G82" t="s">
        <v>370</v>
      </c>
      <c r="H82">
        <v>0.125</v>
      </c>
    </row>
    <row r="83" spans="1:8">
      <c r="A83" t="s">
        <v>1461</v>
      </c>
      <c r="B83" t="s">
        <v>1806</v>
      </c>
      <c r="E83" t="s">
        <v>401</v>
      </c>
      <c r="F83">
        <v>1851</v>
      </c>
      <c r="G83" t="s">
        <v>370</v>
      </c>
      <c r="H83">
        <v>5</v>
      </c>
    </row>
    <row r="84" spans="1:8">
      <c r="A84" t="s">
        <v>1461</v>
      </c>
      <c r="B84" t="s">
        <v>791</v>
      </c>
      <c r="C84" t="s">
        <v>1806</v>
      </c>
      <c r="E84" t="s">
        <v>1103</v>
      </c>
      <c r="F84">
        <v>2778</v>
      </c>
      <c r="G84" t="s">
        <v>370</v>
      </c>
      <c r="H84">
        <v>1</v>
      </c>
    </row>
    <row r="85" spans="1:8">
      <c r="A85" t="s">
        <v>1461</v>
      </c>
      <c r="B85" t="s">
        <v>791</v>
      </c>
      <c r="E85" t="s">
        <v>1291</v>
      </c>
      <c r="F85">
        <v>2614</v>
      </c>
      <c r="G85" t="s">
        <v>370</v>
      </c>
      <c r="H85">
        <v>5</v>
      </c>
    </row>
    <row r="86" spans="1:8">
      <c r="A86" t="s">
        <v>943</v>
      </c>
      <c r="B86" t="s">
        <v>878</v>
      </c>
      <c r="E86" t="s">
        <v>277</v>
      </c>
      <c r="F86">
        <v>1063</v>
      </c>
      <c r="G86" t="s">
        <v>370</v>
      </c>
      <c r="H86">
        <v>0.125</v>
      </c>
    </row>
    <row r="87" spans="1:8">
      <c r="A87" t="s">
        <v>943</v>
      </c>
      <c r="B87" t="s">
        <v>878</v>
      </c>
      <c r="E87" t="s">
        <v>1174</v>
      </c>
      <c r="F87">
        <v>2454</v>
      </c>
      <c r="G87" t="s">
        <v>370</v>
      </c>
      <c r="H87">
        <v>0.125</v>
      </c>
    </row>
    <row r="88" spans="1:8">
      <c r="A88" t="s">
        <v>1461</v>
      </c>
      <c r="B88" t="s">
        <v>791</v>
      </c>
      <c r="E88" t="s">
        <v>1254</v>
      </c>
      <c r="F88">
        <v>2617</v>
      </c>
      <c r="G88" t="s">
        <v>370</v>
      </c>
      <c r="H88">
        <v>5</v>
      </c>
    </row>
    <row r="89" spans="1:8">
      <c r="A89" t="s">
        <v>1496</v>
      </c>
      <c r="B89" t="s">
        <v>1333</v>
      </c>
      <c r="E89" t="s">
        <v>667</v>
      </c>
      <c r="F89">
        <v>1913</v>
      </c>
      <c r="G89" t="s">
        <v>370</v>
      </c>
      <c r="H89">
        <v>0.125</v>
      </c>
    </row>
    <row r="90" spans="1:8">
      <c r="A90" t="s">
        <v>1461</v>
      </c>
      <c r="B90" t="s">
        <v>791</v>
      </c>
      <c r="E90" t="s">
        <v>897</v>
      </c>
      <c r="F90">
        <v>2059</v>
      </c>
      <c r="G90" t="s">
        <v>370</v>
      </c>
      <c r="H90">
        <v>5</v>
      </c>
    </row>
    <row r="91" spans="1:8">
      <c r="A91" t="s">
        <v>1496</v>
      </c>
      <c r="B91" t="s">
        <v>1333</v>
      </c>
      <c r="E91" t="s">
        <v>1209</v>
      </c>
      <c r="F91">
        <v>1977</v>
      </c>
      <c r="G91" t="s">
        <v>370</v>
      </c>
      <c r="H91">
        <v>0.125</v>
      </c>
    </row>
    <row r="92" spans="1:8">
      <c r="A92" t="s">
        <v>1461</v>
      </c>
      <c r="B92" t="s">
        <v>791</v>
      </c>
      <c r="E92" t="s">
        <v>460</v>
      </c>
      <c r="F92">
        <v>1274</v>
      </c>
      <c r="G92" t="s">
        <v>370</v>
      </c>
      <c r="H92">
        <v>5</v>
      </c>
    </row>
    <row r="93" spans="1:8">
      <c r="A93" t="s">
        <v>943</v>
      </c>
      <c r="B93" t="s">
        <v>878</v>
      </c>
      <c r="E93" t="s">
        <v>120</v>
      </c>
      <c r="F93">
        <v>2422</v>
      </c>
      <c r="G93" t="s">
        <v>370</v>
      </c>
      <c r="H93">
        <v>0.125</v>
      </c>
    </row>
    <row r="94" spans="1:8">
      <c r="A94" t="s">
        <v>943</v>
      </c>
      <c r="B94" t="s">
        <v>878</v>
      </c>
      <c r="E94" t="s">
        <v>767</v>
      </c>
      <c r="F94">
        <v>1976</v>
      </c>
      <c r="G94" t="s">
        <v>370</v>
      </c>
      <c r="H94">
        <v>0.125</v>
      </c>
    </row>
    <row r="95" spans="1:8">
      <c r="A95" t="s">
        <v>943</v>
      </c>
      <c r="B95" t="s">
        <v>878</v>
      </c>
      <c r="E95" t="s">
        <v>1236</v>
      </c>
      <c r="F95">
        <v>2424</v>
      </c>
      <c r="G95" t="s">
        <v>370</v>
      </c>
      <c r="H95">
        <v>0.125</v>
      </c>
    </row>
    <row r="96" spans="1:8">
      <c r="A96" t="s">
        <v>1461</v>
      </c>
      <c r="B96" t="s">
        <v>791</v>
      </c>
      <c r="C96" t="s">
        <v>1806</v>
      </c>
      <c r="E96" t="s">
        <v>894</v>
      </c>
      <c r="F96">
        <v>2762</v>
      </c>
      <c r="G96" t="s">
        <v>370</v>
      </c>
      <c r="H96">
        <v>1</v>
      </c>
    </row>
    <row r="97" spans="1:8">
      <c r="A97" t="s">
        <v>1461</v>
      </c>
      <c r="B97" t="s">
        <v>791</v>
      </c>
      <c r="C97" t="s">
        <v>1806</v>
      </c>
      <c r="E97" t="s">
        <v>88</v>
      </c>
      <c r="F97">
        <v>2784</v>
      </c>
      <c r="G97" t="s">
        <v>370</v>
      </c>
      <c r="H97">
        <v>1</v>
      </c>
    </row>
    <row r="98" spans="1:8">
      <c r="A98" t="s">
        <v>1461</v>
      </c>
      <c r="B98" t="s">
        <v>1806</v>
      </c>
      <c r="E98" t="s">
        <v>1304</v>
      </c>
      <c r="F98">
        <v>2788</v>
      </c>
      <c r="G98" t="s">
        <v>370</v>
      </c>
      <c r="H98">
        <v>5</v>
      </c>
    </row>
    <row r="99" spans="1:8">
      <c r="A99" t="s">
        <v>1461</v>
      </c>
      <c r="B99" t="s">
        <v>791</v>
      </c>
      <c r="C99" t="s">
        <v>1806</v>
      </c>
      <c r="E99" t="s">
        <v>1431</v>
      </c>
      <c r="F99">
        <v>2787</v>
      </c>
      <c r="G99" t="s">
        <v>370</v>
      </c>
      <c r="H99">
        <v>1</v>
      </c>
    </row>
    <row r="100" spans="1:8">
      <c r="A100" t="s">
        <v>1461</v>
      </c>
      <c r="B100" t="s">
        <v>1024</v>
      </c>
      <c r="E100" t="s">
        <v>241</v>
      </c>
      <c r="F100">
        <v>3066</v>
      </c>
      <c r="G100" t="s">
        <v>370</v>
      </c>
      <c r="H100">
        <v>5</v>
      </c>
    </row>
    <row r="101" spans="1:8">
      <c r="A101" t="s">
        <v>1461</v>
      </c>
      <c r="B101" t="s">
        <v>791</v>
      </c>
      <c r="E101" t="s">
        <v>241</v>
      </c>
      <c r="F101">
        <v>1263</v>
      </c>
      <c r="G101" t="s">
        <v>370</v>
      </c>
      <c r="H101">
        <v>5</v>
      </c>
    </row>
    <row r="102" spans="1:8">
      <c r="A102" t="s">
        <v>1496</v>
      </c>
      <c r="B102" t="s">
        <v>878</v>
      </c>
      <c r="E102" t="s">
        <v>111</v>
      </c>
      <c r="F102">
        <v>3220</v>
      </c>
      <c r="G102" t="s">
        <v>370</v>
      </c>
      <c r="H102">
        <v>0.125</v>
      </c>
    </row>
    <row r="103" spans="1:8">
      <c r="A103" t="s">
        <v>1461</v>
      </c>
      <c r="B103" t="s">
        <v>791</v>
      </c>
      <c r="E103" t="s">
        <v>1428</v>
      </c>
      <c r="F103">
        <v>1265</v>
      </c>
      <c r="G103" t="s">
        <v>370</v>
      </c>
      <c r="H103">
        <v>1</v>
      </c>
    </row>
    <row r="104" spans="1:8">
      <c r="A104" t="s">
        <v>1461</v>
      </c>
      <c r="B104" t="s">
        <v>791</v>
      </c>
      <c r="E104" t="s">
        <v>1323</v>
      </c>
      <c r="F104">
        <v>1266</v>
      </c>
      <c r="G104" t="s">
        <v>370</v>
      </c>
      <c r="H104">
        <v>5</v>
      </c>
    </row>
    <row r="105" spans="1:8">
      <c r="A105" t="s">
        <v>1461</v>
      </c>
      <c r="B105" t="s">
        <v>1806</v>
      </c>
      <c r="C105" t="s">
        <v>791</v>
      </c>
      <c r="E105" t="s">
        <v>1276</v>
      </c>
      <c r="F105">
        <v>2903</v>
      </c>
      <c r="G105" t="s">
        <v>370</v>
      </c>
      <c r="H105">
        <v>5</v>
      </c>
    </row>
    <row r="106" spans="1:8">
      <c r="A106" t="s">
        <v>1461</v>
      </c>
      <c r="B106" t="s">
        <v>1806</v>
      </c>
      <c r="E106" t="s">
        <v>477</v>
      </c>
      <c r="F106">
        <v>2902</v>
      </c>
      <c r="G106" t="s">
        <v>370</v>
      </c>
      <c r="H106">
        <v>5</v>
      </c>
    </row>
    <row r="107" spans="1:8">
      <c r="A107" t="s">
        <v>943</v>
      </c>
      <c r="B107" t="s">
        <v>878</v>
      </c>
      <c r="E107" t="s">
        <v>1369</v>
      </c>
      <c r="F107">
        <v>1078</v>
      </c>
      <c r="G107" t="s">
        <v>370</v>
      </c>
      <c r="H107">
        <v>0.125</v>
      </c>
    </row>
    <row r="108" spans="1:8">
      <c r="A108" t="s">
        <v>1496</v>
      </c>
      <c r="B108" t="s">
        <v>878</v>
      </c>
      <c r="E108" t="s">
        <v>699</v>
      </c>
      <c r="F108">
        <v>3337</v>
      </c>
      <c r="G108" t="s">
        <v>370</v>
      </c>
      <c r="H108">
        <v>0.125</v>
      </c>
    </row>
    <row r="109" spans="1:8">
      <c r="A109" t="s">
        <v>1496</v>
      </c>
      <c r="B109" t="s">
        <v>878</v>
      </c>
      <c r="E109" t="s">
        <v>1450</v>
      </c>
      <c r="F109">
        <v>3338</v>
      </c>
      <c r="G109" t="s">
        <v>370</v>
      </c>
      <c r="H109">
        <v>0.125</v>
      </c>
    </row>
    <row r="110" spans="1:8">
      <c r="A110" t="s">
        <v>1496</v>
      </c>
      <c r="B110" t="s">
        <v>878</v>
      </c>
      <c r="E110" t="s">
        <v>1092</v>
      </c>
      <c r="F110">
        <v>3339</v>
      </c>
      <c r="G110" t="s">
        <v>370</v>
      </c>
      <c r="H110">
        <v>0.125</v>
      </c>
    </row>
    <row r="111" spans="1:8">
      <c r="A111" t="s">
        <v>1496</v>
      </c>
      <c r="B111" t="s">
        <v>878</v>
      </c>
      <c r="E111" t="s">
        <v>805</v>
      </c>
      <c r="F111">
        <v>3340</v>
      </c>
      <c r="G111" t="s">
        <v>370</v>
      </c>
      <c r="H111">
        <v>0.125</v>
      </c>
    </row>
    <row r="112" spans="1:8">
      <c r="A112" t="s">
        <v>1461</v>
      </c>
      <c r="B112" t="s">
        <v>791</v>
      </c>
      <c r="C112" t="s">
        <v>1806</v>
      </c>
      <c r="E112" t="s">
        <v>1094</v>
      </c>
      <c r="F112">
        <v>2780</v>
      </c>
      <c r="G112" t="s">
        <v>370</v>
      </c>
      <c r="H112">
        <v>1</v>
      </c>
    </row>
    <row r="113" spans="1:8">
      <c r="A113" t="s">
        <v>1461</v>
      </c>
      <c r="B113" t="s">
        <v>791</v>
      </c>
      <c r="C113" t="s">
        <v>1806</v>
      </c>
      <c r="E113" t="s">
        <v>307</v>
      </c>
      <c r="F113">
        <v>3013</v>
      </c>
      <c r="G113" t="s">
        <v>370</v>
      </c>
      <c r="H113">
        <v>5</v>
      </c>
    </row>
    <row r="114" spans="1:8">
      <c r="A114" t="s">
        <v>1461</v>
      </c>
      <c r="B114" t="s">
        <v>791</v>
      </c>
      <c r="E114" t="s">
        <v>1154</v>
      </c>
      <c r="F114">
        <v>1999</v>
      </c>
      <c r="G114" t="s">
        <v>370</v>
      </c>
      <c r="H114">
        <v>5</v>
      </c>
    </row>
    <row r="115" spans="1:8">
      <c r="A115" t="s">
        <v>943</v>
      </c>
      <c r="B115" t="s">
        <v>878</v>
      </c>
      <c r="E115" t="s">
        <v>1512</v>
      </c>
      <c r="F115">
        <v>1982</v>
      </c>
      <c r="G115" t="s">
        <v>370</v>
      </c>
      <c r="H115">
        <v>0.125</v>
      </c>
    </row>
    <row r="116" spans="1:8">
      <c r="A116" t="s">
        <v>1461</v>
      </c>
      <c r="B116" t="s">
        <v>791</v>
      </c>
      <c r="C116" t="s">
        <v>1806</v>
      </c>
      <c r="E116" t="s">
        <v>536</v>
      </c>
      <c r="F116">
        <v>2772</v>
      </c>
      <c r="G116" t="s">
        <v>370</v>
      </c>
      <c r="H116">
        <v>1</v>
      </c>
    </row>
    <row r="117" spans="1:8">
      <c r="A117" t="s">
        <v>1461</v>
      </c>
      <c r="B117" t="s">
        <v>1806</v>
      </c>
      <c r="C117" t="s">
        <v>791</v>
      </c>
      <c r="E117" t="s">
        <v>1102</v>
      </c>
      <c r="F117">
        <v>2929</v>
      </c>
      <c r="G117" t="s">
        <v>370</v>
      </c>
      <c r="H117">
        <v>0.1</v>
      </c>
    </row>
    <row r="118" spans="1:8" hidden="1">
      <c r="A118" t="s">
        <v>204</v>
      </c>
      <c r="B118" t="s">
        <v>1806</v>
      </c>
      <c r="C118" t="s">
        <v>1024</v>
      </c>
      <c r="E118" t="s">
        <v>1447</v>
      </c>
      <c r="F118">
        <v>2928</v>
      </c>
      <c r="G118" t="s">
        <v>76</v>
      </c>
      <c r="H118">
        <v>5</v>
      </c>
    </row>
    <row r="119" spans="1:8" hidden="1">
      <c r="A119" t="s">
        <v>204</v>
      </c>
      <c r="B119" t="s">
        <v>1806</v>
      </c>
      <c r="E119" t="s">
        <v>976</v>
      </c>
      <c r="F119">
        <v>2811</v>
      </c>
      <c r="G119" t="s">
        <v>76</v>
      </c>
    </row>
    <row r="120" spans="1:8">
      <c r="A120" t="s">
        <v>1461</v>
      </c>
      <c r="B120" t="s">
        <v>1024</v>
      </c>
      <c r="C120" t="s">
        <v>1806</v>
      </c>
      <c r="E120" t="s">
        <v>1009</v>
      </c>
      <c r="F120">
        <v>2927</v>
      </c>
      <c r="G120" t="s">
        <v>370</v>
      </c>
      <c r="H120">
        <v>0.1</v>
      </c>
    </row>
    <row r="121" spans="1:8">
      <c r="A121" t="s">
        <v>1461</v>
      </c>
      <c r="B121" t="s">
        <v>791</v>
      </c>
      <c r="C121" t="s">
        <v>1806</v>
      </c>
      <c r="E121" t="s">
        <v>987</v>
      </c>
      <c r="F121">
        <v>2764</v>
      </c>
      <c r="G121" t="s">
        <v>370</v>
      </c>
      <c r="H121">
        <v>1</v>
      </c>
    </row>
    <row r="122" spans="1:8">
      <c r="A122" t="s">
        <v>1496</v>
      </c>
      <c r="B122" t="s">
        <v>878</v>
      </c>
      <c r="E122" t="s">
        <v>1219</v>
      </c>
      <c r="F122">
        <v>1082</v>
      </c>
      <c r="G122" t="s">
        <v>370</v>
      </c>
      <c r="H122">
        <v>0.125</v>
      </c>
    </row>
    <row r="123" spans="1:8">
      <c r="A123" t="s">
        <v>943</v>
      </c>
      <c r="B123" t="s">
        <v>878</v>
      </c>
      <c r="E123" t="s">
        <v>914</v>
      </c>
      <c r="F123">
        <v>1984</v>
      </c>
      <c r="G123" t="s">
        <v>370</v>
      </c>
      <c r="H123">
        <v>0.125</v>
      </c>
    </row>
    <row r="124" spans="1:8">
      <c r="A124" t="s">
        <v>1461</v>
      </c>
      <c r="B124" t="s">
        <v>791</v>
      </c>
      <c r="E124" t="s">
        <v>64</v>
      </c>
      <c r="F124">
        <v>1306</v>
      </c>
      <c r="G124" t="s">
        <v>370</v>
      </c>
      <c r="H124">
        <v>5</v>
      </c>
    </row>
  </sheetData>
  <autoFilter ref="A1:K124" xr:uid="{00000000-0009-0000-0000-00000E000000}">
    <filterColumn colId="6">
      <filters>
        <filter val="L"/>
      </filters>
    </filterColumn>
  </autoFilter>
  <pageMargins left="0.7" right="0.7" top="0.75" bottom="0.75" header="0.3" footer="0.3"/>
</worksheet>
</file>

<file path=docMetadata/LabelInfo.xml><?xml version="1.0" encoding="utf-8"?>
<clbl:labelList xmlns:clbl="http://schemas.microsoft.com/office/2020/mipLabelMetadata">
  <clbl:label id="{e9c55f1f-f169-4db7-a264-a5084ccbb748}" enabled="1" method="Standard" siteId="{135e8995-7d3b-4466-844b-a0d62ba5f495}" contentBits="0"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60</vt:i4>
      </vt:variant>
    </vt:vector>
  </HeadingPairs>
  <TitlesOfParts>
    <vt:vector size="63" baseType="lpstr">
      <vt:lpstr>Setup_Sheet</vt:lpstr>
      <vt:lpstr>Product Compliance</vt:lpstr>
      <vt:lpstr>Product Details Guide</vt:lpstr>
      <vt:lpstr>acc_password</vt:lpstr>
      <vt:lpstr>admin_password</vt:lpstr>
      <vt:lpstr>Alkaline_Battery</vt:lpstr>
      <vt:lpstr>Alkaline_Coin_Button</vt:lpstr>
      <vt:lpstr>BATT_EXTRA_INFO</vt:lpstr>
      <vt:lpstr>BATT_FORMAT</vt:lpstr>
      <vt:lpstr>BATT_TYPE</vt:lpstr>
      <vt:lpstr>Case</vt:lpstr>
      <vt:lpstr>DELIVERY_SERVICE_LEVEL</vt:lpstr>
      <vt:lpstr>format_ss_user</vt:lpstr>
      <vt:lpstr>input_q1</vt:lpstr>
      <vt:lpstr>input_q2</vt:lpstr>
      <vt:lpstr>input_q3</vt:lpstr>
      <vt:lpstr>input_q4</vt:lpstr>
      <vt:lpstr>input_q5</vt:lpstr>
      <vt:lpstr>input_q6</vt:lpstr>
      <vt:lpstr>input_q7</vt:lpstr>
      <vt:lpstr>input_user</vt:lpstr>
      <vt:lpstr>Lead_Acid</vt:lpstr>
      <vt:lpstr>LESS_THAN_TRUCKLOAD__LTL</vt:lpstr>
      <vt:lpstr>Lithium_Battery</vt:lpstr>
      <vt:lpstr>Lithium_Carbon_Flouride__Li_CFx</vt:lpstr>
      <vt:lpstr>Lithium_cobalt__LiCoO2</vt:lpstr>
      <vt:lpstr>Lithium_Coin_Button</vt:lpstr>
      <vt:lpstr>Lithium_Ion_Battery</vt:lpstr>
      <vt:lpstr>Lithium_Iron_Disulfide__LiFe2</vt:lpstr>
      <vt:lpstr>Lithium_iron_phosphate__LiFePO4</vt:lpstr>
      <vt:lpstr>Lithium_Manganese_Dioxide_LiMnO2</vt:lpstr>
      <vt:lpstr>Lithium_manganese_LiMn204</vt:lpstr>
      <vt:lpstr>Lithium_Polymer</vt:lpstr>
      <vt:lpstr>LTL_SERVICE_LEVEL</vt:lpstr>
      <vt:lpstr>Manganese_Titanium_Lithium</vt:lpstr>
      <vt:lpstr>Mer_dep</vt:lpstr>
      <vt:lpstr>mer_dep_row</vt:lpstr>
      <vt:lpstr>Mer_sup</vt:lpstr>
      <vt:lpstr>mer_vendor_imp_row</vt:lpstr>
      <vt:lpstr>Nickel_Cadmium__NiCd</vt:lpstr>
      <vt:lpstr>Nickel_Metal_Hydride__NiMH</vt:lpstr>
      <vt:lpstr>Num_Attr</vt:lpstr>
      <vt:lpstr>Num_Sku</vt:lpstr>
      <vt:lpstr>Other</vt:lpstr>
      <vt:lpstr>Sel_Column</vt:lpstr>
      <vt:lpstr>setup_done</vt:lpstr>
      <vt:lpstr>sheet_password</vt:lpstr>
      <vt:lpstr>Silver_Oxide_Coin_Button</vt:lpstr>
      <vt:lpstr>Software_Platform</vt:lpstr>
      <vt:lpstr>ss_case1_row</vt:lpstr>
      <vt:lpstr>ss_title_1</vt:lpstr>
      <vt:lpstr>SS_Titles_Row</vt:lpstr>
      <vt:lpstr>ss_to_data</vt:lpstr>
      <vt:lpstr>ss_user_type_row</vt:lpstr>
      <vt:lpstr>stop_case_change</vt:lpstr>
      <vt:lpstr>TYPE_CODE</vt:lpstr>
      <vt:lpstr>UDA_num</vt:lpstr>
      <vt:lpstr>User_Type</vt:lpstr>
      <vt:lpstr>Values_List</vt:lpstr>
      <vt:lpstr>Vendor_Contact</vt:lpstr>
      <vt:lpstr>Vendor_Name</vt:lpstr>
      <vt:lpstr>Zinc_Air_Coin_Button</vt:lpstr>
      <vt:lpstr>Zinc_Carbon</vt:lpstr>
    </vt:vector>
  </TitlesOfParts>
  <Company>Best Buy Co,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Tena</dc:creator>
  <cp:lastModifiedBy>Zach Flentge-Wong</cp:lastModifiedBy>
  <dcterms:created xsi:type="dcterms:W3CDTF">2023-09-06T00:57:59Z</dcterms:created>
  <dcterms:modified xsi:type="dcterms:W3CDTF">2024-09-28T04:43:54Z</dcterms:modified>
</cp:coreProperties>
</file>